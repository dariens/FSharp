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40" yWindow="15" windowWidth="16095" windowHeight="9660"/>
  </bookViews>
  <sheets>
    <sheet name="ALL" sheetId="1" r:id="rId1"/>
    <sheet name="Bob Stearns" sheetId="14" r:id="rId2"/>
    <sheet name="Chris Cline" sheetId="8" r:id="rId3"/>
    <sheet name="John Degidio" sheetId="12" r:id="rId4"/>
    <sheet name="Johnny Martinez" sheetId="9" r:id="rId5"/>
    <sheet name="Martha Leon" sheetId="6" r:id="rId6"/>
    <sheet name="Mike Powell " sheetId="2" r:id="rId7"/>
    <sheet name="Ed Tyk" sheetId="3" r:id="rId8"/>
    <sheet name="BLANK" sheetId="4" r:id="rId9"/>
    <sheet name="Tony King" sheetId="5" r:id="rId10"/>
    <sheet name="Inside" sheetId="7" r:id="rId11"/>
    <sheet name="Dan Mahlan" sheetId="10" r:id="rId12"/>
    <sheet name="Bill Fiedeldey" sheetId="11" r:id="rId13"/>
    <sheet name="Damon Hunter" sheetId="13" r:id="rId14"/>
    <sheet name="Thomas Beebe" sheetId="15" r:id="rId15"/>
    <sheet name="Chris Varner" sheetId="16" r:id="rId16"/>
    <sheet name="Dale Hansen" sheetId="17" r:id="rId17"/>
    <sheet name="Tom Garcia" sheetId="18" r:id="rId18"/>
    <sheet name="Chris Reeves" sheetId="19" r:id="rId19"/>
    <sheet name="Jesse Gibson" sheetId="20" r:id="rId20"/>
    <sheet name="Drew Dines" sheetId="21" r:id="rId21"/>
    <sheet name="Kyle Beebe" sheetId="22" r:id="rId22"/>
    <sheet name="Mary McKown" sheetId="23" r:id="rId23"/>
    <sheet name="Perry Cale" sheetId="24" r:id="rId24"/>
    <sheet name="Danny Floyd" sheetId="25" r:id="rId25"/>
    <sheet name="Customer List" sheetId="26" r:id="rId26"/>
    <sheet name="Kelly Robins" sheetId="27" r:id="rId27"/>
    <sheet name="Jim Fowler" sheetId="28" r:id="rId28"/>
  </sheets>
  <calcPr calcId="145621"/>
  <fileRecoveryPr repairLoad="1"/>
</workbook>
</file>

<file path=xl/calcChain.xml><?xml version="1.0" encoding="utf-8"?>
<calcChain xmlns="http://schemas.openxmlformats.org/spreadsheetml/2006/main">
  <c r="D12" i="6" l="1"/>
  <c r="C12" i="6"/>
  <c r="B12" i="6"/>
  <c r="E12" i="6"/>
  <c r="D15" i="9"/>
  <c r="C15" i="9"/>
  <c r="B15" i="9"/>
  <c r="E15" i="9"/>
  <c r="D5" i="12"/>
  <c r="C5" i="12"/>
  <c r="B5" i="12"/>
  <c r="E5" i="12"/>
  <c r="D17" i="8"/>
  <c r="C17" i="8"/>
  <c r="B17" i="8"/>
  <c r="E17" i="8"/>
  <c r="D119" i="1"/>
  <c r="C119" i="1"/>
  <c r="B119" i="1"/>
  <c r="E119" i="1"/>
  <c r="D13" i="14"/>
  <c r="C13" i="14"/>
  <c r="B13" i="14"/>
  <c r="E13" i="14"/>
</calcChain>
</file>

<file path=xl/sharedStrings.xml><?xml version="1.0" encoding="utf-8"?>
<sst xmlns="http://schemas.openxmlformats.org/spreadsheetml/2006/main" count="432" uniqueCount="123">
  <si>
    <t>Customer</t>
  </si>
  <si>
    <t>ABLE STEEL FABRICATORS, INC.</t>
  </si>
  <si>
    <t>ADVANCED BUILDING METAL FAB</t>
  </si>
  <si>
    <t>AFFTON FABRICATING &amp; WELDING C</t>
  </si>
  <si>
    <t>ALBUQUERQUE STEEL PRODUCTS LLC</t>
  </si>
  <si>
    <t>ALL STEEL CONSTRUCTION</t>
  </si>
  <si>
    <t>ALSTATE STEEL</t>
  </si>
  <si>
    <t>AMERICAN STEEL, INC.</t>
  </si>
  <si>
    <t>APEL</t>
  </si>
  <si>
    <t>BARTON SUPPLY</t>
  </si>
  <si>
    <t>BC STEEL BUILDINGS INC</t>
  </si>
  <si>
    <t>BECK STEEL INC.</t>
  </si>
  <si>
    <t>BEHLEN BUILDINGS SYSTEMS</t>
  </si>
  <si>
    <t>BELL STEEL INC</t>
  </si>
  <si>
    <t>BLUESCOPE CONSTRUCTION</t>
  </si>
  <si>
    <t>BOMAN &amp; KEMP MFG INC</t>
  </si>
  <si>
    <t>BUTLER MFG - CA</t>
  </si>
  <si>
    <t xml:space="preserve">BUTLER MFG - TX - DO NOT SUE </t>
  </si>
  <si>
    <t>CAMPBELL CERTIFIED, INC.</t>
  </si>
  <si>
    <t>CANADIAN JOIST AND DECK CORP</t>
  </si>
  <si>
    <t>CASCADE STRUCTURES LLC</t>
  </si>
  <si>
    <t>CECO BLDG SYSTEMS - IA - NCI</t>
  </si>
  <si>
    <t>CENTER-LINE COMPANY</t>
  </si>
  <si>
    <t>CORONA TOOL, LLC</t>
  </si>
  <si>
    <t>CUTTING EDGE FABRICATION</t>
  </si>
  <si>
    <t>DA WHITACRE CONSTRUCTION</t>
  </si>
  <si>
    <t>DATELINE EXPORTS</t>
  </si>
  <si>
    <t>DELONG'S INC</t>
  </si>
  <si>
    <t>DIVISION 5 INC</t>
  </si>
  <si>
    <t>DUKE PACIFIC, INC.</t>
  </si>
  <si>
    <t>ENNIS STEEL INDUSTRIES</t>
  </si>
  <si>
    <t>FIFE METAL FABRICATING INC</t>
  </si>
  <si>
    <t>FORNEY WELDING INC.</t>
  </si>
  <si>
    <t>GARCO BUILDING SYSTEMS</t>
  </si>
  <si>
    <t>GEM BUILDINGS</t>
  </si>
  <si>
    <t>HEARTLAND ENG'D PRODUCTS - MI</t>
  </si>
  <si>
    <t>HOBBY LOBBY</t>
  </si>
  <si>
    <t>ICSW, INC</t>
  </si>
  <si>
    <t xml:space="preserve">IMPACT BUILDING SYSTEMS </t>
  </si>
  <si>
    <t>IRONCO ENTERPRISES, LLC</t>
  </si>
  <si>
    <t>J.B. STEEL</t>
  </si>
  <si>
    <t>JD2, INC.</t>
  </si>
  <si>
    <t xml:space="preserve">KALISCH STEEL CORPORATION </t>
  </si>
  <si>
    <t>KASCO FAB</t>
  </si>
  <si>
    <t>KASCO STRUCTURES LLC</t>
  </si>
  <si>
    <t>KD STEEL INC</t>
  </si>
  <si>
    <t>KLOECKNER METALS CORPORATION</t>
  </si>
  <si>
    <t>L&amp;P BROKERAGE, LLC</t>
  </si>
  <si>
    <t>LB CONSTRUCTION INC.</t>
  </si>
  <si>
    <t xml:space="preserve">MAKO STEEL </t>
  </si>
  <si>
    <t>MARTIN IRON WORKS, INC.</t>
  </si>
  <si>
    <t>MECHANICAL INDUSTRIES, INC.</t>
  </si>
  <si>
    <t>MORELOCK &amp; COMPANY</t>
  </si>
  <si>
    <t>NCI BUILDING SYSTEMS</t>
  </si>
  <si>
    <t>NEW MILLENNIUM - NV</t>
  </si>
  <si>
    <t xml:space="preserve">NEW MILLENNIUM -AR </t>
  </si>
  <si>
    <t>NEW MILLENNIUM- IN</t>
  </si>
  <si>
    <t>NEW MILLENNIUM- JZ</t>
  </si>
  <si>
    <t>NEW MILLENNIUM- VA</t>
  </si>
  <si>
    <t>NORTH STAR INDUSTRIES, INC.</t>
  </si>
  <si>
    <t xml:space="preserve">PACE METALS NORTH </t>
  </si>
  <si>
    <t>PACIFIC BUILDERS</t>
  </si>
  <si>
    <t>PACIFIC METAL FABRICATORS</t>
  </si>
  <si>
    <t>PANELIZED STRUCTURES, INC</t>
  </si>
  <si>
    <t>PANELIZED STRUCTURES-NEVADA</t>
  </si>
  <si>
    <t>PARAMOUNT METAL AND SUPPLY</t>
  </si>
  <si>
    <t>PDM STEEL SERVICE CENTERS INC</t>
  </si>
  <si>
    <t>PROJECT STEEL COMPANY, INC.</t>
  </si>
  <si>
    <t>PROSTEEL INC.</t>
  </si>
  <si>
    <t>R &amp; A ROOF STRUCTURES</t>
  </si>
  <si>
    <t>RARIG CONSTRUCTION, INC.</t>
  </si>
  <si>
    <t xml:space="preserve">RAZCO METAL </t>
  </si>
  <si>
    <t>RED CEDAR STEEL</t>
  </si>
  <si>
    <t>RENO IRON WORKS</t>
  </si>
  <si>
    <t>RF STEARNS, INC.</t>
  </si>
  <si>
    <t>RIGID GLOBAL BUILDINGS</t>
  </si>
  <si>
    <t>ROOF STRUCTURES</t>
  </si>
  <si>
    <t>ROSS FABRICATION &amp; WELDING INC</t>
  </si>
  <si>
    <t>S&amp;H STEEL</t>
  </si>
  <si>
    <t>S&amp;H WELDING, INC.</t>
  </si>
  <si>
    <t>SAGUARO STEEL INDUSTRIES, LLC</t>
  </si>
  <si>
    <t>SAK &amp; ASSOCIATES</t>
  </si>
  <si>
    <t>SAN MATEO IRONWORKS`</t>
  </si>
  <si>
    <t>SANTA FE STEEL</t>
  </si>
  <si>
    <t>SCHULTE BUILDING SYSTEMS - TX</t>
  </si>
  <si>
    <t>SES GROUP INC.</t>
  </si>
  <si>
    <t xml:space="preserve">SF RENTS </t>
  </si>
  <si>
    <t>SPARHAWK METALS INC</t>
  </si>
  <si>
    <t>STALEY STEEL INC.</t>
  </si>
  <si>
    <t>STAR BUILDING SYSTEMS</t>
  </si>
  <si>
    <t>STEEL ENCOUNTERS - NW</t>
  </si>
  <si>
    <t>STEEL ENCOUNTERS, INC</t>
  </si>
  <si>
    <t>STEEL SPECIALTIES INC</t>
  </si>
  <si>
    <t>STEELE SOLUTIONS INC</t>
  </si>
  <si>
    <t>STROUSS BROS. CONSTRUCTION INC</t>
  </si>
  <si>
    <t>STRUCTURAL STEEL SERVICES</t>
  </si>
  <si>
    <t>STTRUCTURES INC</t>
  </si>
  <si>
    <t>SUBURBAN STEEL, INC.</t>
  </si>
  <si>
    <t>TECHNICAL STEEL CONST. INC.</t>
  </si>
  <si>
    <t>TELKO ENTERPRISES</t>
  </si>
  <si>
    <t>THE KROGER CO.</t>
  </si>
  <si>
    <t>THE MCINTYRE COMPANY</t>
  </si>
  <si>
    <t>TOMBARI STRUCTURAL PRODUCTS</t>
  </si>
  <si>
    <t>TRIAD STEEL SERVICES, INC</t>
  </si>
  <si>
    <t>UNION ERECTORS, LLC</t>
  </si>
  <si>
    <t>UNITED METAL DECK LLC</t>
  </si>
  <si>
    <t>UNITED STRUCTURES OF AMERICA</t>
  </si>
  <si>
    <t>UNIVERSAL STEEL</t>
  </si>
  <si>
    <t>V3 STEEL</t>
  </si>
  <si>
    <t>VALLEY IRON WORKS</t>
  </si>
  <si>
    <t>VALLI CONSTRUCTION</t>
  </si>
  <si>
    <t>VP BUILDINGS - CA</t>
  </si>
  <si>
    <t xml:space="preserve">W &amp; W STEEL LLC - TX-  </t>
  </si>
  <si>
    <t>WAL-MART REALTY</t>
  </si>
  <si>
    <t xml:space="preserve">WEATHERGUARD METAL </t>
  </si>
  <si>
    <t>WESTERN SLOPE IRON</t>
  </si>
  <si>
    <t>WILDECK</t>
  </si>
  <si>
    <t>ZZONE CONSTRUCTION, LLC</t>
  </si>
  <si>
    <t>Joist Tons</t>
  </si>
  <si>
    <t>Joist Plant Price (W/ Bump)</t>
  </si>
  <si>
    <t>Deck Tons</t>
  </si>
  <si>
    <t>Deck Price (W/ Shipping)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</si>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</sst>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\$#,##0.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4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28"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1" displayName="Table1" ref="A1:E119" totalsRowCount="1">
  <autoFilter ref="A1:E118"/>
  <tableColumns count="5">
    <tableColumn id="1" name="Column1" totalsRowLabel="Total" dataDxfId="26"/>
    <tableColumn id="2" name="Column2" totalsRowFunction="sum"/>
    <tableColumn id="3" name="Column3" totalsRowFunction="sum"/>
    <tableColumn id="4" name="Column4" totalsRowFunction="sum"/>
    <tableColumn id="5" name="Column5" totalsRowFunction="sum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4" name="Table14" displayName="Table14" ref="A1:E13" totalsRowCount="1">
  <autoFilter ref="A1:E12"/>
  <tableColumns count="5">
    <tableColumn id="1" name="Column1" totalsRowLabel="Total" dataDxfId="14"/>
    <tableColumn id="2" name="Column2" totalsRowFunction="sum"/>
    <tableColumn id="3" name="Column3" totalsRowFunction="sum"/>
    <tableColumn id="4" name="Column4" totalsRowFunction="sum"/>
    <tableColumn id="5" name="Column5" totalsRowFunction="sum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8" name="Table8" displayName="Table8" ref="A1:E17" totalsRowCount="1">
  <autoFilter ref="A1:E16"/>
  <tableColumns count="5">
    <tableColumn id="1" name="Column1" totalsRowLabel="Total" dataDxfId="20"/>
    <tableColumn id="2" name="Column2" totalsRowFunction="sum"/>
    <tableColumn id="3" name="Column3" totalsRowFunction="sum"/>
    <tableColumn id="4" name="Column4" totalsRowFunction="sum"/>
    <tableColumn id="5" name="Column5" totalsRowFunction="sum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12" name="Table12" displayName="Table12" ref="A1:E5" totalsRowCount="1">
  <autoFilter ref="A1:E4"/>
  <tableColumns count="5">
    <tableColumn id="1" name="Column1" totalsRowLabel="Total" dataDxfId="16"/>
    <tableColumn id="2" name="Column2" totalsRowFunction="sum"/>
    <tableColumn id="3" name="Column3" totalsRowFunction="sum"/>
    <tableColumn id="4" name="Column4" totalsRowFunction="sum"/>
    <tableColumn id="5" name="Column5" totalsRowFunction="sum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9" name="Table9" displayName="Table9" ref="A1:E15" totalsRowCount="1">
  <autoFilter ref="A1:E14"/>
  <tableColumns count="5">
    <tableColumn id="1" name="Column1" totalsRowLabel="Total" dataDxfId="19"/>
    <tableColumn id="2" name="Column2" totalsRowFunction="sum"/>
    <tableColumn id="3" name="Column3" totalsRowFunction="sum"/>
    <tableColumn id="4" name="Column4" totalsRowFunction="sum"/>
    <tableColumn id="5" name="Column5" totalsRowFunction="sum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6" name="Table6" displayName="Table6" ref="A1:E12" totalsRowCount="1">
  <autoFilter ref="A1:E11"/>
  <tableColumns count="5">
    <tableColumn id="1" name="Column1" totalsRowLabel="Total" dataDxfId="22"/>
    <tableColumn id="2" name="Column2" totalsRowFunction="sum"/>
    <tableColumn id="3" name="Column3" totalsRowFunction="sum"/>
    <tableColumn id="4" name="Column4" totalsRowFunction="sum"/>
    <tableColumn id="5" name="Column5" totalsRowFunction="sum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2" name="Table2" displayName="Table2" ref="A1:E10" totalsRowShown="0">
  <autoFilter ref="A1:E10"/>
  <tableColumns count="5">
    <tableColumn id="1" name="Column1" dataDxfId="27"/>
    <tableColumn id="2" name="Column2"/>
    <tableColumn id="3" name="Column3"/>
    <tableColumn id="4" name="Column4"/>
    <tableColumn id="5" name="Column5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3" name="Table3" displayName="Table3" ref="A1:E11" totalsRowShown="0">
  <autoFilter ref="A1:E11"/>
  <tableColumns count="5">
    <tableColumn id="1" name="Column1" dataDxfId="25"/>
    <tableColumn id="2" name="Column2"/>
    <tableColumn id="3" name="Column3"/>
    <tableColumn id="4" name="Column4"/>
    <tableColumn id="5" name="Column5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4" name="Table4" displayName="Table4" ref="A1:E27" totalsRowShown="0">
  <autoFilter ref="A1:E27"/>
  <tableColumns count="5">
    <tableColumn id="1" name="Column1" dataDxfId="24"/>
    <tableColumn id="2" name="Column2"/>
    <tableColumn id="3" name="Column3"/>
    <tableColumn id="4" name="Column4"/>
    <tableColumn id="5" name="Column5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5" name="Table5" displayName="Table5" ref="A1:E5" totalsRowShown="0">
  <autoFilter ref="A1:E5"/>
  <tableColumns count="5">
    <tableColumn id="1" name="Column1" dataDxfId="23"/>
    <tableColumn id="2" name="Column2"/>
    <tableColumn id="3" name="Column3"/>
    <tableColumn id="4" name="Column4"/>
    <tableColumn id="5" name="Column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7" name="Table7" displayName="Table7" ref="A1:E32" totalsRowShown="0">
  <autoFilter ref="A1:E32"/>
  <tableColumns count="5">
    <tableColumn id="1" name="Column1" dataDxfId="21"/>
    <tableColumn id="2" name="Column2"/>
    <tableColumn id="3" name="Column3"/>
    <tableColumn id="4" name="Column4"/>
    <tableColumn id="5" name="Column5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id="10" name="Table10" displayName="Table10" ref="A1:E4" totalsRowShown="0">
  <autoFilter ref="A1:E4"/>
  <tableColumns count="5">
    <tableColumn id="1" name="Column1" dataDxfId="18"/>
    <tableColumn id="2" name="Column2"/>
    <tableColumn id="3" name="Column3"/>
    <tableColumn id="4" name="Column4"/>
    <tableColumn id="5" name="Column5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id="11" name="Table11" displayName="Table11" ref="A1:E3" totalsRowShown="0">
  <autoFilter ref="A1:E3"/>
  <tableColumns count="5">
    <tableColumn id="1" name="Column1" dataDxfId="17"/>
    <tableColumn id="2" name="Column2"/>
    <tableColumn id="3" name="Column3"/>
    <tableColumn id="4" name="Column4"/>
    <tableColumn id="5" name="Column5"/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id="13" name="Table13" displayName="Table13" ref="A1:E2" totalsRowShown="0">
  <autoFilter ref="A1:E2"/>
  <tableColumns count="5">
    <tableColumn id="1" name="Column1" dataDxfId="15"/>
    <tableColumn id="2" name="Column2"/>
    <tableColumn id="3" name="Column3"/>
    <tableColumn id="4" name="Column4"/>
    <tableColumn id="5" name="Column5"/>
  </tableColumns>
  <tableStyleInfo name="TableStyleMedium9" showFirstColumn="0" showLastColumn="0" showRowStripes="1" showColumnStripes="0"/>
</table>
</file>

<file path=xl/tables/table15.xml><?xml version="1.0" encoding="utf-8"?>
<table xmlns="http://schemas.openxmlformats.org/spreadsheetml/2006/main" id="15" name="Table15" displayName="Table15" ref="A1:E2" totalsRowShown="0">
  <autoFilter ref="A1:E2"/>
  <tableColumns count="5">
    <tableColumn id="1" name="Column1" dataDxfId="13"/>
    <tableColumn id="2" name="Column2"/>
    <tableColumn id="3" name="Column3"/>
    <tableColumn id="4" name="Column4"/>
    <tableColumn id="5" name="Column5"/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id="16" name="Table16" displayName="Table16" ref="A1:E4" totalsRowShown="0">
  <autoFilter ref="A1:E4"/>
  <tableColumns count="5">
    <tableColumn id="1" name="Column1" dataDxfId="12"/>
    <tableColumn id="2" name="Column2"/>
    <tableColumn id="3" name="Column3"/>
    <tableColumn id="4" name="Column4"/>
    <tableColumn id="5" name="Column5"/>
  </tableColumns>
  <tableStyleInfo name="TableStyleMedium9" showFirstColumn="0" showLastColumn="0" showRowStripes="1" showColumnStripes="0"/>
</table>
</file>

<file path=xl/tables/table17.xml><?xml version="1.0" encoding="utf-8"?>
<table xmlns="http://schemas.openxmlformats.org/spreadsheetml/2006/main" id="17" name="Table17" displayName="Table17" ref="A1:E4" totalsRowShown="0">
  <autoFilter ref="A1:E4"/>
  <tableColumns count="5">
    <tableColumn id="1" name="Column1" dataDxfId="11"/>
    <tableColumn id="2" name="Column2"/>
    <tableColumn id="3" name="Column3"/>
    <tableColumn id="4" name="Column4"/>
    <tableColumn id="5" name="Column5"/>
  </tableColumns>
  <tableStyleInfo name="TableStyleMedium9" showFirstColumn="0" showLastColumn="0" showRowStripes="1" showColumnStripes="0"/>
</table>
</file>

<file path=xl/tables/table18.xml><?xml version="1.0" encoding="utf-8"?>
<table xmlns="http://schemas.openxmlformats.org/spreadsheetml/2006/main" id="18" name="Table18" displayName="Table18" ref="A1:E2" totalsRowShown="0">
  <autoFilter ref="A1:E2"/>
  <tableColumns count="5">
    <tableColumn id="1" name="Column1" dataDxfId="10"/>
    <tableColumn id="2" name="Column2"/>
    <tableColumn id="3" name="Column3"/>
    <tableColumn id="4" name="Column4"/>
    <tableColumn id="5" name="Column5"/>
  </tableColumns>
  <tableStyleInfo name="TableStyleMedium9" showFirstColumn="0" showLastColumn="0" showRowStripes="1" showColumnStripes="0"/>
</table>
</file>

<file path=xl/tables/table19.xml><?xml version="1.0" encoding="utf-8"?>
<table xmlns="http://schemas.openxmlformats.org/spreadsheetml/2006/main" id="19" name="Table19" displayName="Table19" ref="A1:E2" totalsRowShown="0">
  <autoFilter ref="A1:E2"/>
  <tableColumns count="5">
    <tableColumn id="1" name="Column1" dataDxfId="9"/>
    <tableColumn id="2" name="Column2"/>
    <tableColumn id="3" name="Column3"/>
    <tableColumn id="4" name="Column4"/>
    <tableColumn id="5" name="Column5"/>
  </tableColumns>
  <tableStyleInfo name="TableStyleMedium9" showFirstColumn="0" showLastColumn="0" showRowStripes="1" showColumnStripes="0"/>
</table>
</file>

<file path=xl/tables/table20.xml><?xml version="1.0" encoding="utf-8"?>
<table xmlns="http://schemas.openxmlformats.org/spreadsheetml/2006/main" id="20" name="Table20" displayName="Table20" ref="A1:E2" totalsRowShown="0">
  <autoFilter ref="A1:E2"/>
  <tableColumns count="5">
    <tableColumn id="1" name="Column1" dataDxfId="8"/>
    <tableColumn id="2" name="Column2"/>
    <tableColumn id="3" name="Column3"/>
    <tableColumn id="4" name="Column4"/>
    <tableColumn id="5" name="Column5"/>
  </tableColumns>
  <tableStyleInfo name="TableStyleMedium9" showFirstColumn="0" showLastColumn="0" showRowStripes="1" showColumnStripes="0"/>
</table>
</file>

<file path=xl/tables/table21.xml><?xml version="1.0" encoding="utf-8"?>
<table xmlns="http://schemas.openxmlformats.org/spreadsheetml/2006/main" id="21" name="Table21" displayName="Table21" ref="A1:E3" totalsRowShown="0">
  <autoFilter ref="A1:E3"/>
  <tableColumns count="5">
    <tableColumn id="1" name="Column1" dataDxfId="7"/>
    <tableColumn id="2" name="Column2"/>
    <tableColumn id="3" name="Column3"/>
    <tableColumn id="4" name="Column4"/>
    <tableColumn id="5" name="Column5"/>
  </tableColumns>
  <tableStyleInfo name="TableStyleMedium9" showFirstColumn="0" showLastColumn="0" showRowStripes="1" showColumnStripes="0"/>
</table>
</file>

<file path=xl/tables/table22.xml><?xml version="1.0" encoding="utf-8"?>
<table xmlns="http://schemas.openxmlformats.org/spreadsheetml/2006/main" id="22" name="Table22" displayName="Table22" ref="A1:E7" totalsRowShown="0">
  <autoFilter ref="A1:E7"/>
  <tableColumns count="5">
    <tableColumn id="1" name="Column1" dataDxfId="6"/>
    <tableColumn id="2" name="Column2"/>
    <tableColumn id="3" name="Column3"/>
    <tableColumn id="4" name="Column4"/>
    <tableColumn id="5" name="Column5"/>
  </tableColumns>
  <tableStyleInfo name="TableStyleMedium9" showFirstColumn="0" showLastColumn="0" showRowStripes="1" showColumnStripes="0"/>
</table>
</file>

<file path=xl/tables/table23.xml><?xml version="1.0" encoding="utf-8"?>
<table xmlns="http://schemas.openxmlformats.org/spreadsheetml/2006/main" id="23" name="Table23" displayName="Table23" ref="A1:E8" totalsRowShown="0">
  <autoFilter ref="A1:E8"/>
  <tableColumns count="5">
    <tableColumn id="1" name="Column1" dataDxfId="5"/>
    <tableColumn id="2" name="Column2"/>
    <tableColumn id="3" name="Column3"/>
    <tableColumn id="4" name="Column4"/>
    <tableColumn id="5" name="Column5"/>
  </tableColumns>
  <tableStyleInfo name="TableStyleMedium9" showFirstColumn="0" showLastColumn="0" showRowStripes="1" showColumnStripes="0"/>
</table>
</file>

<file path=xl/tables/table24.xml><?xml version="1.0" encoding="utf-8"?>
<table xmlns="http://schemas.openxmlformats.org/spreadsheetml/2006/main" id="24" name="Table24" displayName="Table24" ref="A1:E2" totalsRowShown="0">
  <autoFilter ref="A1:E2"/>
  <tableColumns count="5">
    <tableColumn id="1" name="Column1" dataDxfId="4"/>
    <tableColumn id="2" name="Column2"/>
    <tableColumn id="3" name="Column3"/>
    <tableColumn id="4" name="Column4"/>
    <tableColumn id="5" name="Column5"/>
  </tableColumns>
  <tableStyleInfo name="TableStyleMedium9" showFirstColumn="0" showLastColumn="0" showRowStripes="1" showColumnStripes="0"/>
</table>
</file>

<file path=xl/tables/table25.xml><?xml version="1.0" encoding="utf-8"?>
<table xmlns="http://schemas.openxmlformats.org/spreadsheetml/2006/main" id="25" name="Table25" displayName="Table25" ref="A1:E2" totalsRowShown="0">
  <autoFilter ref="A1:E2"/>
  <tableColumns count="5">
    <tableColumn id="1" name="Column1" dataDxfId="3"/>
    <tableColumn id="2" name="Column2"/>
    <tableColumn id="3" name="Column3"/>
    <tableColumn id="4" name="Column4"/>
    <tableColumn id="5" name="Column5"/>
  </tableColumns>
  <tableStyleInfo name="TableStyleMedium9" showFirstColumn="0" showLastColumn="0" showRowStripes="1" showColumnStripes="0"/>
</table>
</file>

<file path=xl/tables/table26.xml><?xml version="1.0" encoding="utf-8"?>
<table xmlns="http://schemas.openxmlformats.org/spreadsheetml/2006/main" id="26" name="Table26" displayName="Table26" ref="A1:E2" totalsRowShown="0">
  <autoFilter ref="A1:E2"/>
  <tableColumns count="5">
    <tableColumn id="1" name="Column1" dataDxfId="2"/>
    <tableColumn id="2" name="Column2"/>
    <tableColumn id="3" name="Column3"/>
    <tableColumn id="4" name="Column4"/>
    <tableColumn id="5" name="Column5"/>
  </tableColumns>
  <tableStyleInfo name="TableStyleMedium9" showFirstColumn="0" showLastColumn="0" showRowStripes="1" showColumnStripes="0"/>
</table>
</file>

<file path=xl/tables/table27.xml><?xml version="1.0" encoding="utf-8"?>
<table xmlns="http://schemas.openxmlformats.org/spreadsheetml/2006/main" id="27" name="Table27" displayName="Table27" ref="A1:E3" totalsRowShown="0">
  <autoFilter ref="A1:E3"/>
  <tableColumns count="5">
    <tableColumn id="1" name="Column1" dataDxfId="1"/>
    <tableColumn id="2" name="Column2"/>
    <tableColumn id="3" name="Column3"/>
    <tableColumn id="4" name="Column4"/>
    <tableColumn id="5" name="Column5"/>
  </tableColumns>
  <tableStyleInfo name="TableStyleMedium9" showFirstColumn="0" showLastColumn="0" showRowStripes="1" showColumnStripes="0"/>
</table>
</file>

<file path=xl/tables/table28.xml><?xml version="1.0" encoding="utf-8"?>
<table xmlns="http://schemas.openxmlformats.org/spreadsheetml/2006/main" id="28" name="Table28" displayName="Table28" ref="A1:E2" totalsRowShown="0">
  <autoFilter ref="A1:E2"/>
  <tableColumns count="5">
    <tableColumn id="1" name="Column1" dataDxfId="0"/>
    <tableColumn id="2" name="Column2"/>
    <tableColumn id="3" name="Column3"/>
    <tableColumn id="4" name="Column4"/>
    <tableColumn id="5" name="Column5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19"/>
  <sheetViews>
    <sheetView tabSelected="1" workbookViewId="0"/>
  </sheetViews>
  <sheetFormatPr defaultRowHeight="15" x14ac:dyDescent="0.25"/>
  <cols>
    <col min="1" max="1" width="33.28515625" style="1" bestFit="1" customWidth="1"/>
    <col min="2" max="2" width="11.85546875" style="1" bestFit="1" customWidth="1"/>
    <col min="3" max="3" width="28" style="2" bestFit="1" customWidth="1"/>
    <col min="4" max="4" width="12.140625" style="1" bestFit="1" customWidth="1"/>
    <col min="5" max="5" width="25.7109375" style="2" bestFit="1" customWidth="1"/>
  </cols>
  <sheetData>
    <row r="1" spans="1:5" x14ac:dyDescent="0.25">
      <c r="A1" s="1" t="s">
        <v>0</v>
      </c>
      <c r="B1" s="1" t="s">
        <v>118</v>
      </c>
      <c r="C1" s="2" t="s">
        <v>119</v>
      </c>
      <c r="D1" s="1" t="s">
        <v>120</v>
      </c>
      <c r="E1" s="2" t="s">
        <v>121</v>
      </c>
    </row>
    <row r="2" spans="1:5" x14ac:dyDescent="0.25">
      <c r="A2" s="1" t="s">
        <v>1</v>
      </c>
      <c r="B2" s="1">
        <v>0</v>
      </c>
      <c r="C2" s="2">
        <v>0</v>
      </c>
      <c r="D2" s="1">
        <v>162.50991776000001</v>
      </c>
      <c r="E2" s="2">
        <v>153368.57</v>
      </c>
    </row>
    <row r="3" spans="1:5" x14ac:dyDescent="0.25">
      <c r="A3" s="1" t="s">
        <v>2</v>
      </c>
      <c r="B3" s="1">
        <v>1.42</v>
      </c>
      <c r="C3" s="2">
        <v>7858.4</v>
      </c>
      <c r="D3" s="1">
        <v>0</v>
      </c>
      <c r="E3" s="2">
        <v>0</v>
      </c>
    </row>
    <row r="4" spans="1:5" x14ac:dyDescent="0.25">
      <c r="A4" s="1" t="s">
        <v>3</v>
      </c>
      <c r="B4" s="1">
        <v>38.042257999999997</v>
      </c>
      <c r="C4" s="2">
        <v>44443.7</v>
      </c>
      <c r="D4" s="1">
        <v>0</v>
      </c>
      <c r="E4" s="2">
        <v>0</v>
      </c>
    </row>
    <row r="5" spans="1:5" x14ac:dyDescent="0.25">
      <c r="A5" s="1" t="s">
        <v>4</v>
      </c>
      <c r="B5" s="1">
        <v>0</v>
      </c>
      <c r="C5" s="2">
        <v>0</v>
      </c>
      <c r="D5" s="1">
        <v>1.780764646</v>
      </c>
      <c r="E5" s="2">
        <v>3187.4227999999998</v>
      </c>
    </row>
    <row r="6" spans="1:5" x14ac:dyDescent="0.25">
      <c r="A6" s="1" t="s">
        <v>5</v>
      </c>
      <c r="B6" s="1">
        <v>93.62</v>
      </c>
      <c r="C6" s="2">
        <v>157054</v>
      </c>
      <c r="D6" s="1">
        <v>0</v>
      </c>
      <c r="E6" s="2">
        <v>0</v>
      </c>
    </row>
    <row r="7" spans="1:5" x14ac:dyDescent="0.25">
      <c r="A7" s="1" t="s">
        <v>6</v>
      </c>
      <c r="B7" s="1">
        <v>0</v>
      </c>
      <c r="C7" s="2">
        <v>0</v>
      </c>
      <c r="D7" s="1">
        <v>51.574162887</v>
      </c>
      <c r="E7" s="2">
        <v>60811.648000000001</v>
      </c>
    </row>
    <row r="8" spans="1:5" x14ac:dyDescent="0.25">
      <c r="A8" s="1" t="s">
        <v>7</v>
      </c>
      <c r="B8" s="1">
        <v>50.01</v>
      </c>
      <c r="C8" s="2">
        <v>78299.399999999994</v>
      </c>
      <c r="D8" s="1">
        <v>0</v>
      </c>
      <c r="E8" s="2">
        <v>0</v>
      </c>
    </row>
    <row r="9" spans="1:5" x14ac:dyDescent="0.25">
      <c r="A9" s="1" t="s">
        <v>8</v>
      </c>
      <c r="B9" s="1">
        <v>85.32</v>
      </c>
      <c r="C9" s="2">
        <v>118705</v>
      </c>
      <c r="D9" s="1">
        <v>0</v>
      </c>
      <c r="E9" s="2">
        <v>0</v>
      </c>
    </row>
    <row r="10" spans="1:5" x14ac:dyDescent="0.25">
      <c r="A10" s="1" t="s">
        <v>9</v>
      </c>
      <c r="B10" s="1">
        <v>0</v>
      </c>
      <c r="C10" s="2">
        <v>0</v>
      </c>
      <c r="D10" s="1">
        <v>69.970897269999995</v>
      </c>
      <c r="E10" s="2">
        <v>76404.22649999999</v>
      </c>
    </row>
    <row r="11" spans="1:5" x14ac:dyDescent="0.25">
      <c r="A11" s="1" t="s">
        <v>10</v>
      </c>
      <c r="B11" s="1">
        <v>1.85</v>
      </c>
      <c r="C11" s="2">
        <v>3759</v>
      </c>
      <c r="D11" s="1">
        <v>0</v>
      </c>
      <c r="E11" s="2">
        <v>0</v>
      </c>
    </row>
    <row r="12" spans="1:5" x14ac:dyDescent="0.25">
      <c r="A12" s="1" t="s">
        <v>11</v>
      </c>
      <c r="B12" s="1">
        <v>5.47</v>
      </c>
      <c r="C12" s="2">
        <v>16188.5</v>
      </c>
      <c r="D12" s="1">
        <v>0</v>
      </c>
      <c r="E12" s="2">
        <v>0</v>
      </c>
    </row>
    <row r="13" spans="1:5" x14ac:dyDescent="0.25">
      <c r="A13" s="1" t="s">
        <v>12</v>
      </c>
      <c r="B13" s="1">
        <v>95.51</v>
      </c>
      <c r="C13" s="2">
        <v>137783.85999999999</v>
      </c>
      <c r="D13" s="1">
        <v>0</v>
      </c>
      <c r="E13" s="2">
        <v>0</v>
      </c>
    </row>
    <row r="14" spans="1:5" x14ac:dyDescent="0.25">
      <c r="A14" s="1" t="s">
        <v>13</v>
      </c>
      <c r="B14" s="1">
        <v>0</v>
      </c>
      <c r="C14" s="2">
        <v>0</v>
      </c>
      <c r="D14" s="1">
        <v>53.704403065000001</v>
      </c>
      <c r="E14" s="2">
        <v>29626.1142</v>
      </c>
    </row>
    <row r="15" spans="1:5" x14ac:dyDescent="0.25">
      <c r="A15" s="1" t="s">
        <v>14</v>
      </c>
      <c r="B15" s="1">
        <v>730.46154320000005</v>
      </c>
      <c r="C15" s="2">
        <v>1063434.3500000001</v>
      </c>
      <c r="D15" s="1">
        <v>0</v>
      </c>
      <c r="E15" s="2">
        <v>0</v>
      </c>
    </row>
    <row r="16" spans="1:5" x14ac:dyDescent="0.25">
      <c r="A16" s="1" t="s">
        <v>15</v>
      </c>
      <c r="B16" s="1">
        <v>0</v>
      </c>
      <c r="C16" s="2">
        <v>0</v>
      </c>
      <c r="D16" s="1">
        <v>22.83868764</v>
      </c>
      <c r="E16" s="2">
        <v>25391.73</v>
      </c>
    </row>
    <row r="17" spans="1:5" x14ac:dyDescent="0.25">
      <c r="A17" s="1" t="s">
        <v>16</v>
      </c>
      <c r="B17" s="1">
        <v>110.06</v>
      </c>
      <c r="C17" s="2">
        <v>176107.98</v>
      </c>
      <c r="D17" s="1">
        <v>6.7613379550000001</v>
      </c>
      <c r="E17" s="2">
        <v>7361.152</v>
      </c>
    </row>
    <row r="18" spans="1:5" x14ac:dyDescent="0.25">
      <c r="A18" s="1" t="s">
        <v>17</v>
      </c>
      <c r="B18" s="1">
        <v>0</v>
      </c>
      <c r="C18" s="2">
        <v>0</v>
      </c>
      <c r="D18" s="1">
        <v>3.606983279</v>
      </c>
      <c r="E18" s="2">
        <v>6007.6016</v>
      </c>
    </row>
    <row r="19" spans="1:5" x14ac:dyDescent="0.25">
      <c r="A19" s="1" t="s">
        <v>18</v>
      </c>
      <c r="B19" s="1">
        <v>202.54</v>
      </c>
      <c r="C19" s="2">
        <v>390735</v>
      </c>
      <c r="D19" s="1">
        <v>0</v>
      </c>
      <c r="E19" s="2">
        <v>0</v>
      </c>
    </row>
    <row r="20" spans="1:5" x14ac:dyDescent="0.25">
      <c r="A20" s="1" t="s">
        <v>19</v>
      </c>
      <c r="B20" s="1">
        <v>17.63</v>
      </c>
      <c r="C20" s="2">
        <v>31462</v>
      </c>
      <c r="D20" s="1">
        <v>0</v>
      </c>
      <c r="E20" s="2">
        <v>0</v>
      </c>
    </row>
    <row r="21" spans="1:5" x14ac:dyDescent="0.25">
      <c r="A21" s="1" t="s">
        <v>20</v>
      </c>
      <c r="B21" s="1">
        <v>62.343667879999998</v>
      </c>
      <c r="C21" s="2">
        <v>111537.5</v>
      </c>
      <c r="D21" s="1">
        <v>0</v>
      </c>
      <c r="E21" s="2">
        <v>0</v>
      </c>
    </row>
    <row r="22" spans="1:5" x14ac:dyDescent="0.25">
      <c r="A22" s="1" t="s">
        <v>21</v>
      </c>
      <c r="B22" s="1">
        <v>81.25</v>
      </c>
      <c r="C22" s="2">
        <v>132929.5</v>
      </c>
      <c r="D22" s="1">
        <v>0</v>
      </c>
      <c r="E22" s="2">
        <v>0</v>
      </c>
    </row>
    <row r="23" spans="1:5" x14ac:dyDescent="0.25">
      <c r="A23" s="1" t="s">
        <v>22</v>
      </c>
      <c r="B23" s="1">
        <v>575.81133500600004</v>
      </c>
      <c r="C23" s="2">
        <v>802030.77</v>
      </c>
      <c r="D23" s="1">
        <v>0</v>
      </c>
      <c r="E23" s="2">
        <v>0</v>
      </c>
    </row>
    <row r="24" spans="1:5" x14ac:dyDescent="0.25">
      <c r="A24" s="1" t="s">
        <v>23</v>
      </c>
      <c r="B24" s="1">
        <v>165.22</v>
      </c>
      <c r="C24" s="2">
        <v>256002.79</v>
      </c>
      <c r="D24" s="1">
        <v>0</v>
      </c>
      <c r="E24" s="2">
        <v>0</v>
      </c>
    </row>
    <row r="25" spans="1:5" x14ac:dyDescent="0.25">
      <c r="A25" s="1" t="s">
        <v>24</v>
      </c>
      <c r="B25" s="1">
        <v>0</v>
      </c>
      <c r="C25" s="2">
        <v>0</v>
      </c>
      <c r="D25" s="1">
        <v>13.489833817999999</v>
      </c>
      <c r="E25" s="2">
        <v>12860.4336</v>
      </c>
    </row>
    <row r="26" spans="1:5" x14ac:dyDescent="0.25">
      <c r="A26" s="1" t="s">
        <v>25</v>
      </c>
      <c r="B26" s="1">
        <v>39.765897099999997</v>
      </c>
      <c r="C26" s="2">
        <v>60826.400000000001</v>
      </c>
      <c r="D26" s="1">
        <v>0</v>
      </c>
      <c r="E26" s="2">
        <v>0</v>
      </c>
    </row>
    <row r="27" spans="1:5" x14ac:dyDescent="0.25">
      <c r="A27" s="1" t="s">
        <v>26</v>
      </c>
      <c r="B27" s="1">
        <v>11.72</v>
      </c>
      <c r="C27" s="2">
        <v>18715.5</v>
      </c>
      <c r="D27" s="1">
        <v>0</v>
      </c>
      <c r="E27" s="2">
        <v>0</v>
      </c>
    </row>
    <row r="28" spans="1:5" x14ac:dyDescent="0.25">
      <c r="A28" s="1" t="s">
        <v>27</v>
      </c>
      <c r="B28" s="1">
        <v>13.08</v>
      </c>
      <c r="C28" s="2">
        <v>54102.2</v>
      </c>
      <c r="D28" s="1">
        <v>0</v>
      </c>
      <c r="E28" s="2">
        <v>0</v>
      </c>
    </row>
    <row r="29" spans="1:5" x14ac:dyDescent="0.25">
      <c r="A29" s="1" t="s">
        <v>28</v>
      </c>
      <c r="B29" s="1">
        <v>43.010644910000003</v>
      </c>
      <c r="C29" s="2">
        <v>62390.9</v>
      </c>
      <c r="D29" s="1">
        <v>0</v>
      </c>
      <c r="E29" s="2">
        <v>0</v>
      </c>
    </row>
    <row r="30" spans="1:5" x14ac:dyDescent="0.25">
      <c r="A30" s="1" t="s">
        <v>29</v>
      </c>
      <c r="B30" s="1">
        <v>2649.1829978730002</v>
      </c>
      <c r="C30" s="2">
        <v>4166823.040000001</v>
      </c>
      <c r="D30" s="1">
        <v>0</v>
      </c>
      <c r="E30" s="2">
        <v>0</v>
      </c>
    </row>
    <row r="31" spans="1:5" x14ac:dyDescent="0.25">
      <c r="A31" s="1" t="s">
        <v>30</v>
      </c>
      <c r="B31" s="1">
        <v>0</v>
      </c>
      <c r="C31" s="2">
        <v>0</v>
      </c>
      <c r="D31" s="1">
        <v>3.195829056</v>
      </c>
      <c r="E31" s="2">
        <v>8672.3700000000008</v>
      </c>
    </row>
    <row r="32" spans="1:5" x14ac:dyDescent="0.25">
      <c r="A32" s="1" t="s">
        <v>31</v>
      </c>
      <c r="B32" s="1">
        <v>112.97</v>
      </c>
      <c r="C32" s="2">
        <v>242436</v>
      </c>
      <c r="D32" s="1">
        <v>0</v>
      </c>
      <c r="E32" s="2">
        <v>0</v>
      </c>
    </row>
    <row r="33" spans="1:5" x14ac:dyDescent="0.25">
      <c r="A33" s="1" t="s">
        <v>32</v>
      </c>
      <c r="B33" s="1">
        <v>0</v>
      </c>
      <c r="C33" s="2">
        <v>0</v>
      </c>
      <c r="D33" s="1">
        <v>170.39290671099999</v>
      </c>
      <c r="E33" s="2">
        <v>176087.30230000001</v>
      </c>
    </row>
    <row r="34" spans="1:5" x14ac:dyDescent="0.25">
      <c r="A34" s="1" t="s">
        <v>33</v>
      </c>
      <c r="B34" s="1">
        <v>67.356160256999999</v>
      </c>
      <c r="C34" s="2">
        <v>107749.56</v>
      </c>
      <c r="D34" s="1">
        <v>0</v>
      </c>
      <c r="E34" s="2">
        <v>0</v>
      </c>
    </row>
    <row r="35" spans="1:5" x14ac:dyDescent="0.25">
      <c r="A35" s="1" t="s">
        <v>34</v>
      </c>
      <c r="B35" s="1">
        <v>618.01606035000009</v>
      </c>
      <c r="C35" s="2">
        <v>900756</v>
      </c>
      <c r="D35" s="1">
        <v>0</v>
      </c>
      <c r="E35" s="2">
        <v>0</v>
      </c>
    </row>
    <row r="36" spans="1:5" x14ac:dyDescent="0.25">
      <c r="A36" s="1" t="s">
        <v>35</v>
      </c>
      <c r="B36" s="1">
        <v>1</v>
      </c>
      <c r="C36" s="2">
        <v>2549.85</v>
      </c>
      <c r="D36" s="1">
        <v>0</v>
      </c>
      <c r="E36" s="2">
        <v>0</v>
      </c>
    </row>
    <row r="37" spans="1:5" x14ac:dyDescent="0.25">
      <c r="A37" s="1" t="s">
        <v>36</v>
      </c>
      <c r="B37" s="1">
        <v>341.78772294999999</v>
      </c>
      <c r="C37" s="2">
        <v>496909.82</v>
      </c>
      <c r="D37" s="1">
        <v>111.56856754</v>
      </c>
      <c r="E37" s="2">
        <v>122937.2553</v>
      </c>
    </row>
    <row r="38" spans="1:5" x14ac:dyDescent="0.25">
      <c r="A38" s="1" t="s">
        <v>37</v>
      </c>
      <c r="B38" s="1">
        <v>340.52418173000001</v>
      </c>
      <c r="C38" s="2">
        <v>592169.19999999995</v>
      </c>
      <c r="D38" s="1">
        <v>0</v>
      </c>
      <c r="E38" s="2">
        <v>0</v>
      </c>
    </row>
    <row r="39" spans="1:5" x14ac:dyDescent="0.25">
      <c r="A39" s="1" t="s">
        <v>38</v>
      </c>
      <c r="B39" s="1">
        <v>4.3899999999999997</v>
      </c>
      <c r="C39" s="2">
        <v>7830.5</v>
      </c>
      <c r="D39" s="1">
        <v>0</v>
      </c>
      <c r="E39" s="2">
        <v>0</v>
      </c>
    </row>
    <row r="40" spans="1:5" x14ac:dyDescent="0.25">
      <c r="A40" s="1" t="s">
        <v>39</v>
      </c>
      <c r="B40" s="1">
        <v>0.33</v>
      </c>
      <c r="C40" s="2">
        <v>298.25</v>
      </c>
      <c r="D40" s="1">
        <v>44.321054295000003</v>
      </c>
      <c r="E40" s="2">
        <v>40676.116999999998</v>
      </c>
    </row>
    <row r="41" spans="1:5" x14ac:dyDescent="0.25">
      <c r="A41" s="1" t="s">
        <v>40</v>
      </c>
      <c r="B41" s="1">
        <v>22.490765440000001</v>
      </c>
      <c r="C41" s="2">
        <v>31365.200000000001</v>
      </c>
      <c r="D41" s="1">
        <v>67.119444170000008</v>
      </c>
      <c r="E41" s="2">
        <v>66246.519891999997</v>
      </c>
    </row>
    <row r="42" spans="1:5" x14ac:dyDescent="0.25">
      <c r="A42" s="1" t="s">
        <v>41</v>
      </c>
      <c r="B42" s="1">
        <v>567.00005271500004</v>
      </c>
      <c r="C42" s="2">
        <v>967879.32</v>
      </c>
      <c r="D42" s="1">
        <v>0</v>
      </c>
      <c r="E42" s="2">
        <v>0</v>
      </c>
    </row>
    <row r="43" spans="1:5" x14ac:dyDescent="0.25">
      <c r="A43" s="1" t="s">
        <v>42</v>
      </c>
      <c r="B43" s="1">
        <v>0</v>
      </c>
      <c r="C43" s="2">
        <v>0</v>
      </c>
      <c r="D43" s="1">
        <v>111.09193064</v>
      </c>
      <c r="E43" s="2">
        <v>106219.32</v>
      </c>
    </row>
    <row r="44" spans="1:5" x14ac:dyDescent="0.25">
      <c r="A44" s="1" t="s">
        <v>43</v>
      </c>
      <c r="B44" s="1">
        <v>18.08953928</v>
      </c>
      <c r="C44" s="2">
        <v>23868.3</v>
      </c>
      <c r="D44" s="1">
        <v>0</v>
      </c>
      <c r="E44" s="2">
        <v>0</v>
      </c>
    </row>
    <row r="45" spans="1:5" x14ac:dyDescent="0.25">
      <c r="A45" s="1" t="s">
        <v>44</v>
      </c>
      <c r="B45" s="1">
        <v>0</v>
      </c>
      <c r="C45" s="2">
        <v>0</v>
      </c>
      <c r="D45" s="1">
        <v>161.10157571600001</v>
      </c>
      <c r="E45" s="2">
        <v>157969.58189999999</v>
      </c>
    </row>
    <row r="46" spans="1:5" x14ac:dyDescent="0.25">
      <c r="A46" s="1" t="s">
        <v>45</v>
      </c>
      <c r="B46" s="1">
        <v>408.54913579999999</v>
      </c>
      <c r="C46" s="2">
        <v>681474.1</v>
      </c>
      <c r="D46" s="1">
        <v>0</v>
      </c>
      <c r="E46" s="2">
        <v>0</v>
      </c>
    </row>
    <row r="47" spans="1:5" x14ac:dyDescent="0.25">
      <c r="A47" s="1" t="s">
        <v>46</v>
      </c>
      <c r="B47" s="1">
        <v>18.18</v>
      </c>
      <c r="C47" s="2">
        <v>43496</v>
      </c>
      <c r="D47" s="1">
        <v>0</v>
      </c>
      <c r="E47" s="2">
        <v>0</v>
      </c>
    </row>
    <row r="48" spans="1:5" x14ac:dyDescent="0.25">
      <c r="A48" s="1" t="s">
        <v>47</v>
      </c>
      <c r="B48" s="1">
        <v>18.93</v>
      </c>
      <c r="C48" s="2">
        <v>48628.5</v>
      </c>
      <c r="D48" s="1">
        <v>0</v>
      </c>
      <c r="E48" s="2">
        <v>0</v>
      </c>
    </row>
    <row r="49" spans="1:5" x14ac:dyDescent="0.25">
      <c r="A49" s="1" t="s">
        <v>48</v>
      </c>
      <c r="B49" s="1">
        <v>79.978559097999991</v>
      </c>
      <c r="C49" s="2">
        <v>128545.9</v>
      </c>
      <c r="D49" s="1">
        <v>0</v>
      </c>
      <c r="E49" s="2">
        <v>0</v>
      </c>
    </row>
    <row r="50" spans="1:5" x14ac:dyDescent="0.25">
      <c r="A50" s="1" t="s">
        <v>49</v>
      </c>
      <c r="B50" s="1">
        <v>0</v>
      </c>
      <c r="C50" s="2">
        <v>0</v>
      </c>
      <c r="D50" s="1">
        <v>90.465959290000001</v>
      </c>
      <c r="E50" s="2">
        <v>98677.351400000014</v>
      </c>
    </row>
    <row r="51" spans="1:5" x14ac:dyDescent="0.25">
      <c r="A51" s="1" t="s">
        <v>50</v>
      </c>
      <c r="B51" s="1">
        <v>25.079237890000002</v>
      </c>
      <c r="C51" s="2">
        <v>42593.25</v>
      </c>
      <c r="D51" s="1">
        <v>0</v>
      </c>
      <c r="E51" s="2">
        <v>0</v>
      </c>
    </row>
    <row r="52" spans="1:5" x14ac:dyDescent="0.25">
      <c r="A52" s="1" t="s">
        <v>51</v>
      </c>
      <c r="B52" s="1">
        <v>10.130000000000001</v>
      </c>
      <c r="C52" s="2">
        <v>14510.45</v>
      </c>
      <c r="D52" s="1">
        <v>0</v>
      </c>
      <c r="E52" s="2">
        <v>0</v>
      </c>
    </row>
    <row r="53" spans="1:5" x14ac:dyDescent="0.25">
      <c r="A53" s="1" t="s">
        <v>52</v>
      </c>
      <c r="B53" s="1">
        <v>58.97</v>
      </c>
      <c r="C53" s="2">
        <v>78405.8</v>
      </c>
      <c r="D53" s="1">
        <v>0</v>
      </c>
      <c r="E53" s="2">
        <v>0</v>
      </c>
    </row>
    <row r="54" spans="1:5" x14ac:dyDescent="0.25">
      <c r="A54" s="1" t="s">
        <v>53</v>
      </c>
      <c r="B54" s="1">
        <v>28.566909566</v>
      </c>
      <c r="C54" s="2">
        <v>56005.100000000013</v>
      </c>
      <c r="D54" s="1">
        <v>5.6888687219999996</v>
      </c>
      <c r="E54" s="2">
        <v>8155.2569000000003</v>
      </c>
    </row>
    <row r="55" spans="1:5" x14ac:dyDescent="0.25">
      <c r="A55" s="1" t="s">
        <v>54</v>
      </c>
      <c r="B55" s="1">
        <v>0.71873870500000003</v>
      </c>
      <c r="C55" s="2">
        <v>0</v>
      </c>
      <c r="D55" s="1">
        <v>0</v>
      </c>
      <c r="E55" s="2">
        <v>0</v>
      </c>
    </row>
    <row r="56" spans="1:5" x14ac:dyDescent="0.25">
      <c r="A56" s="1" t="s">
        <v>55</v>
      </c>
      <c r="B56" s="1">
        <v>0</v>
      </c>
      <c r="C56" s="2">
        <v>0</v>
      </c>
      <c r="D56" s="1">
        <v>240.38836485799999</v>
      </c>
      <c r="E56" s="2">
        <v>549750.52890000003</v>
      </c>
    </row>
    <row r="57" spans="1:5" x14ac:dyDescent="0.25">
      <c r="A57" s="1" t="s">
        <v>56</v>
      </c>
      <c r="B57" s="1">
        <v>119.58</v>
      </c>
      <c r="C57" s="2">
        <v>237091.4</v>
      </c>
      <c r="D57" s="1">
        <v>21.023869260000001</v>
      </c>
      <c r="E57" s="2">
        <v>74418.599999999991</v>
      </c>
    </row>
    <row r="58" spans="1:5" x14ac:dyDescent="0.25">
      <c r="A58" s="1" t="s">
        <v>57</v>
      </c>
      <c r="B58" s="1">
        <v>0</v>
      </c>
      <c r="C58" s="2">
        <v>0</v>
      </c>
      <c r="D58" s="1">
        <v>2193.5224546109998</v>
      </c>
      <c r="E58" s="2">
        <v>2299290.2660639999</v>
      </c>
    </row>
    <row r="59" spans="1:5" x14ac:dyDescent="0.25">
      <c r="A59" s="1" t="s">
        <v>58</v>
      </c>
      <c r="B59" s="1">
        <v>0</v>
      </c>
      <c r="C59" s="2">
        <v>0</v>
      </c>
      <c r="D59" s="1">
        <v>6.0207829610000001</v>
      </c>
      <c r="E59" s="2">
        <v>19251.54</v>
      </c>
    </row>
    <row r="60" spans="1:5" x14ac:dyDescent="0.25">
      <c r="A60" s="1" t="s">
        <v>59</v>
      </c>
      <c r="B60" s="1">
        <v>152.24752129000001</v>
      </c>
      <c r="C60" s="2">
        <v>264398</v>
      </c>
      <c r="D60" s="1">
        <v>0</v>
      </c>
      <c r="E60" s="2">
        <v>0</v>
      </c>
    </row>
    <row r="61" spans="1:5" x14ac:dyDescent="0.25">
      <c r="A61" s="1" t="s">
        <v>60</v>
      </c>
      <c r="B61" s="1">
        <v>8.26</v>
      </c>
      <c r="C61" s="2">
        <v>14436.3</v>
      </c>
      <c r="D61" s="1">
        <v>74.383806923999998</v>
      </c>
      <c r="E61" s="2">
        <v>70744.750700000004</v>
      </c>
    </row>
    <row r="62" spans="1:5" x14ac:dyDescent="0.25">
      <c r="A62" s="1" t="s">
        <v>61</v>
      </c>
      <c r="B62" s="1">
        <v>6.86</v>
      </c>
      <c r="C62" s="2">
        <v>29185</v>
      </c>
      <c r="D62" s="1">
        <v>0</v>
      </c>
      <c r="E62" s="2">
        <v>0</v>
      </c>
    </row>
    <row r="63" spans="1:5" x14ac:dyDescent="0.25">
      <c r="A63" s="1" t="s">
        <v>62</v>
      </c>
      <c r="B63" s="1">
        <v>6.39</v>
      </c>
      <c r="C63" s="2">
        <v>10732.9</v>
      </c>
      <c r="D63" s="1">
        <v>0</v>
      </c>
      <c r="E63" s="2">
        <v>0</v>
      </c>
    </row>
    <row r="64" spans="1:5" x14ac:dyDescent="0.25">
      <c r="A64" s="1" t="s">
        <v>63</v>
      </c>
      <c r="B64" s="1">
        <v>20164.525717941</v>
      </c>
      <c r="C64" s="2">
        <v>30124793.969999999</v>
      </c>
      <c r="D64" s="1">
        <v>0</v>
      </c>
      <c r="E64" s="2">
        <v>0</v>
      </c>
    </row>
    <row r="65" spans="1:5" x14ac:dyDescent="0.25">
      <c r="A65" s="1" t="s">
        <v>64</v>
      </c>
      <c r="B65" s="1">
        <v>1340.3921233000001</v>
      </c>
      <c r="C65" s="2">
        <v>2028697.35</v>
      </c>
      <c r="D65" s="1">
        <v>0</v>
      </c>
      <c r="E65" s="2">
        <v>0</v>
      </c>
    </row>
    <row r="66" spans="1:5" x14ac:dyDescent="0.25">
      <c r="A66" s="1" t="s">
        <v>65</v>
      </c>
      <c r="B66" s="1">
        <v>3.36</v>
      </c>
      <c r="C66" s="2">
        <v>6798.15</v>
      </c>
      <c r="D66" s="1">
        <v>0</v>
      </c>
      <c r="E66" s="2">
        <v>0</v>
      </c>
    </row>
    <row r="67" spans="1:5" x14ac:dyDescent="0.25">
      <c r="A67" s="1" t="s">
        <v>66</v>
      </c>
      <c r="B67" s="1">
        <v>0</v>
      </c>
      <c r="C67" s="2">
        <v>0</v>
      </c>
      <c r="D67" s="1">
        <v>9.8505204800000001</v>
      </c>
      <c r="E67" s="2">
        <v>10886.052</v>
      </c>
    </row>
    <row r="68" spans="1:5" x14ac:dyDescent="0.25">
      <c r="A68" s="1" t="s">
        <v>67</v>
      </c>
      <c r="B68" s="1">
        <v>14.41</v>
      </c>
      <c r="C68" s="2">
        <v>27288.25</v>
      </c>
      <c r="D68" s="1">
        <v>0</v>
      </c>
      <c r="E68" s="2">
        <v>0</v>
      </c>
    </row>
    <row r="69" spans="1:5" x14ac:dyDescent="0.25">
      <c r="A69" s="1" t="s">
        <v>68</v>
      </c>
      <c r="B69" s="1">
        <v>746.61617389699995</v>
      </c>
      <c r="C69" s="2">
        <v>1153584.25</v>
      </c>
      <c r="D69" s="1">
        <v>0</v>
      </c>
      <c r="E69" s="2">
        <v>0</v>
      </c>
    </row>
    <row r="70" spans="1:5" x14ac:dyDescent="0.25">
      <c r="A70" s="1" t="s">
        <v>69</v>
      </c>
      <c r="B70" s="1">
        <v>973.15478810000002</v>
      </c>
      <c r="C70" s="2">
        <v>1479773.8</v>
      </c>
      <c r="D70" s="1">
        <v>0</v>
      </c>
      <c r="E70" s="2">
        <v>0</v>
      </c>
    </row>
    <row r="71" spans="1:5" x14ac:dyDescent="0.25">
      <c r="A71" s="1" t="s">
        <v>70</v>
      </c>
      <c r="B71" s="1">
        <v>181.18</v>
      </c>
      <c r="C71" s="2">
        <v>306060.15000000002</v>
      </c>
      <c r="D71" s="1">
        <v>0</v>
      </c>
      <c r="E71" s="2">
        <v>0</v>
      </c>
    </row>
    <row r="72" spans="1:5" x14ac:dyDescent="0.25">
      <c r="A72" s="1" t="s">
        <v>71</v>
      </c>
      <c r="B72" s="1">
        <v>11.93</v>
      </c>
      <c r="C72" s="2">
        <v>18324.5</v>
      </c>
      <c r="D72" s="1">
        <v>0</v>
      </c>
      <c r="E72" s="2">
        <v>0</v>
      </c>
    </row>
    <row r="73" spans="1:5" x14ac:dyDescent="0.25">
      <c r="A73" s="1" t="s">
        <v>72</v>
      </c>
      <c r="B73" s="1">
        <v>0</v>
      </c>
      <c r="C73" s="2">
        <v>0</v>
      </c>
      <c r="D73" s="1">
        <v>34.294559700999997</v>
      </c>
      <c r="E73" s="2">
        <v>30483.500700000001</v>
      </c>
    </row>
    <row r="74" spans="1:5" x14ac:dyDescent="0.25">
      <c r="A74" s="1" t="s">
        <v>73</v>
      </c>
      <c r="B74" s="1">
        <v>20.2</v>
      </c>
      <c r="C74" s="2">
        <v>31262.5</v>
      </c>
      <c r="D74" s="1">
        <v>0</v>
      </c>
      <c r="E74" s="2">
        <v>0</v>
      </c>
    </row>
    <row r="75" spans="1:5" x14ac:dyDescent="0.25">
      <c r="A75" s="1" t="s">
        <v>74</v>
      </c>
      <c r="B75" s="1">
        <v>522.44278560000009</v>
      </c>
      <c r="C75" s="2">
        <v>647805.5</v>
      </c>
      <c r="D75" s="1">
        <v>0</v>
      </c>
      <c r="E75" s="2">
        <v>0</v>
      </c>
    </row>
    <row r="76" spans="1:5" x14ac:dyDescent="0.25">
      <c r="A76" s="1" t="s">
        <v>75</v>
      </c>
      <c r="B76" s="1">
        <v>0</v>
      </c>
      <c r="C76" s="2">
        <v>0</v>
      </c>
      <c r="D76" s="1">
        <v>6.6941925449999999</v>
      </c>
      <c r="E76" s="2">
        <v>9347.3876999999993</v>
      </c>
    </row>
    <row r="77" spans="1:5" x14ac:dyDescent="0.25">
      <c r="A77" s="1" t="s">
        <v>76</v>
      </c>
      <c r="B77" s="1">
        <v>853.30389348000006</v>
      </c>
      <c r="C77" s="2">
        <v>1248699.3999999999</v>
      </c>
      <c r="D77" s="1">
        <v>0</v>
      </c>
      <c r="E77" s="2">
        <v>0</v>
      </c>
    </row>
    <row r="78" spans="1:5" x14ac:dyDescent="0.25">
      <c r="A78" s="1" t="s">
        <v>77</v>
      </c>
      <c r="B78" s="1">
        <v>11.75</v>
      </c>
      <c r="C78" s="2">
        <v>22306</v>
      </c>
      <c r="D78" s="1">
        <v>0</v>
      </c>
      <c r="E78" s="2">
        <v>0</v>
      </c>
    </row>
    <row r="79" spans="1:5" x14ac:dyDescent="0.25">
      <c r="A79" s="1" t="s">
        <v>78</v>
      </c>
      <c r="B79" s="1">
        <v>0</v>
      </c>
      <c r="C79" s="2">
        <v>0</v>
      </c>
      <c r="D79" s="1">
        <v>25.995871820000001</v>
      </c>
      <c r="E79" s="2">
        <v>24529.738000000001</v>
      </c>
    </row>
    <row r="80" spans="1:5" x14ac:dyDescent="0.25">
      <c r="A80" s="1" t="s">
        <v>79</v>
      </c>
      <c r="B80" s="1">
        <v>530.24</v>
      </c>
      <c r="C80" s="2">
        <v>671510.20000000007</v>
      </c>
      <c r="D80" s="1">
        <v>0</v>
      </c>
      <c r="E80" s="2">
        <v>0</v>
      </c>
    </row>
    <row r="81" spans="1:5" x14ac:dyDescent="0.25">
      <c r="A81" s="1" t="s">
        <v>80</v>
      </c>
      <c r="B81" s="1">
        <v>32.96</v>
      </c>
      <c r="C81" s="2">
        <v>44516.3</v>
      </c>
      <c r="D81" s="1">
        <v>0</v>
      </c>
      <c r="E81" s="2">
        <v>0</v>
      </c>
    </row>
    <row r="82" spans="1:5" x14ac:dyDescent="0.25">
      <c r="A82" s="1" t="s">
        <v>81</v>
      </c>
      <c r="B82" s="1">
        <v>389.81535029999998</v>
      </c>
      <c r="C82" s="2">
        <v>749539.7</v>
      </c>
      <c r="D82" s="1">
        <v>0</v>
      </c>
      <c r="E82" s="2">
        <v>0</v>
      </c>
    </row>
    <row r="83" spans="1:5" x14ac:dyDescent="0.25">
      <c r="A83" s="1" t="s">
        <v>82</v>
      </c>
      <c r="B83" s="1">
        <v>1.02</v>
      </c>
      <c r="C83" s="2">
        <v>2862.85</v>
      </c>
      <c r="D83" s="1">
        <v>0</v>
      </c>
      <c r="E83" s="2">
        <v>0</v>
      </c>
    </row>
    <row r="84" spans="1:5" x14ac:dyDescent="0.25">
      <c r="A84" s="1" t="s">
        <v>83</v>
      </c>
      <c r="B84" s="1">
        <v>0</v>
      </c>
      <c r="C84" s="2">
        <v>0</v>
      </c>
      <c r="D84" s="1">
        <v>40.8672763</v>
      </c>
      <c r="E84" s="2">
        <v>45977.281199999998</v>
      </c>
    </row>
    <row r="85" spans="1:5" x14ac:dyDescent="0.25">
      <c r="A85" s="1" t="s">
        <v>84</v>
      </c>
      <c r="B85" s="1">
        <v>2.63</v>
      </c>
      <c r="C85" s="2">
        <v>5801.25</v>
      </c>
      <c r="D85" s="1">
        <v>0</v>
      </c>
      <c r="E85" s="2">
        <v>0</v>
      </c>
    </row>
    <row r="86" spans="1:5" x14ac:dyDescent="0.25">
      <c r="A86" s="1" t="s">
        <v>85</v>
      </c>
      <c r="B86" s="1">
        <v>55.941524800000003</v>
      </c>
      <c r="C86" s="2">
        <v>89823.5</v>
      </c>
      <c r="D86" s="1">
        <v>42.882955209999999</v>
      </c>
      <c r="E86" s="2">
        <v>37666.641300000003</v>
      </c>
    </row>
    <row r="87" spans="1:5" x14ac:dyDescent="0.25">
      <c r="A87" s="1" t="s">
        <v>86</v>
      </c>
      <c r="B87" s="1">
        <v>3.02</v>
      </c>
      <c r="C87" s="2">
        <v>7447.35</v>
      </c>
      <c r="D87" s="1">
        <v>0</v>
      </c>
      <c r="E87" s="2">
        <v>0</v>
      </c>
    </row>
    <row r="88" spans="1:5" x14ac:dyDescent="0.25">
      <c r="A88" s="1" t="s">
        <v>87</v>
      </c>
      <c r="B88" s="1">
        <v>96.21</v>
      </c>
      <c r="C88" s="2">
        <v>228343</v>
      </c>
      <c r="D88" s="1">
        <v>0</v>
      </c>
      <c r="E88" s="2">
        <v>0</v>
      </c>
    </row>
    <row r="89" spans="1:5" x14ac:dyDescent="0.25">
      <c r="A89" s="1" t="s">
        <v>88</v>
      </c>
      <c r="B89" s="1">
        <v>0</v>
      </c>
      <c r="C89" s="2">
        <v>7200</v>
      </c>
      <c r="D89" s="1">
        <v>0</v>
      </c>
      <c r="E89" s="2">
        <v>0</v>
      </c>
    </row>
    <row r="90" spans="1:5" x14ac:dyDescent="0.25">
      <c r="A90" s="1" t="s">
        <v>89</v>
      </c>
      <c r="B90" s="1">
        <v>6.8578853889999998</v>
      </c>
      <c r="C90" s="2">
        <v>13496.5</v>
      </c>
      <c r="D90" s="1">
        <v>0</v>
      </c>
      <c r="E90" s="2">
        <v>0</v>
      </c>
    </row>
    <row r="91" spans="1:5" x14ac:dyDescent="0.25">
      <c r="A91" s="1" t="s">
        <v>90</v>
      </c>
      <c r="B91" s="1">
        <v>1507.537905027001</v>
      </c>
      <c r="C91" s="2">
        <v>2371576.0499999998</v>
      </c>
      <c r="D91" s="1">
        <v>0</v>
      </c>
      <c r="E91" s="2">
        <v>0</v>
      </c>
    </row>
    <row r="92" spans="1:5" x14ac:dyDescent="0.25">
      <c r="A92" s="1" t="s">
        <v>91</v>
      </c>
      <c r="B92" s="1">
        <v>4343.0835137120011</v>
      </c>
      <c r="C92" s="2">
        <v>6265666.7899999991</v>
      </c>
      <c r="D92" s="1">
        <v>100.910396162</v>
      </c>
      <c r="E92" s="2">
        <v>90277.8505</v>
      </c>
    </row>
    <row r="93" spans="1:5" x14ac:dyDescent="0.25">
      <c r="A93" s="1" t="s">
        <v>92</v>
      </c>
      <c r="B93" s="1">
        <v>0</v>
      </c>
      <c r="C93" s="2">
        <v>0</v>
      </c>
      <c r="D93" s="1">
        <v>58.873328520999998</v>
      </c>
      <c r="E93" s="2">
        <v>59684.746400000004</v>
      </c>
    </row>
    <row r="94" spans="1:5" x14ac:dyDescent="0.25">
      <c r="A94" s="1" t="s">
        <v>93</v>
      </c>
      <c r="B94" s="1">
        <v>21.41</v>
      </c>
      <c r="C94" s="2">
        <v>36861.550000000003</v>
      </c>
      <c r="D94" s="1">
        <v>0</v>
      </c>
      <c r="E94" s="2">
        <v>0</v>
      </c>
    </row>
    <row r="95" spans="1:5" x14ac:dyDescent="0.25">
      <c r="A95" s="1" t="s">
        <v>94</v>
      </c>
      <c r="B95" s="1">
        <v>6.91</v>
      </c>
      <c r="C95" s="2">
        <v>12459.1</v>
      </c>
      <c r="D95" s="1">
        <v>0</v>
      </c>
      <c r="E95" s="2">
        <v>0</v>
      </c>
    </row>
    <row r="96" spans="1:5" x14ac:dyDescent="0.25">
      <c r="A96" s="1" t="s">
        <v>95</v>
      </c>
      <c r="B96" s="1">
        <v>0</v>
      </c>
      <c r="C96" s="2">
        <v>0</v>
      </c>
      <c r="D96" s="1">
        <v>62.781873400999999</v>
      </c>
      <c r="E96" s="2">
        <v>67814.221799999999</v>
      </c>
    </row>
    <row r="97" spans="1:5" x14ac:dyDescent="0.25">
      <c r="A97" s="1" t="s">
        <v>96</v>
      </c>
      <c r="B97" s="1">
        <v>25.74</v>
      </c>
      <c r="C97" s="2">
        <v>36007.25</v>
      </c>
      <c r="D97" s="1">
        <v>0</v>
      </c>
      <c r="E97" s="2">
        <v>0</v>
      </c>
    </row>
    <row r="98" spans="1:5" x14ac:dyDescent="0.25">
      <c r="A98" s="1" t="s">
        <v>97</v>
      </c>
      <c r="B98" s="1">
        <v>131.92197007999999</v>
      </c>
      <c r="C98" s="2">
        <v>205175.6</v>
      </c>
      <c r="D98" s="1">
        <v>60.341515370000003</v>
      </c>
      <c r="E98" s="2">
        <v>54142.883600000001</v>
      </c>
    </row>
    <row r="99" spans="1:5" x14ac:dyDescent="0.25">
      <c r="A99" s="1" t="s">
        <v>98</v>
      </c>
      <c r="B99" s="1">
        <v>68.874382090000012</v>
      </c>
      <c r="C99" s="2">
        <v>108024.8</v>
      </c>
      <c r="D99" s="1">
        <v>0</v>
      </c>
      <c r="E99" s="2">
        <v>0</v>
      </c>
    </row>
    <row r="100" spans="1:5" x14ac:dyDescent="0.25">
      <c r="A100" s="1" t="s">
        <v>99</v>
      </c>
      <c r="B100" s="1">
        <v>13.41</v>
      </c>
      <c r="C100" s="2">
        <v>17349</v>
      </c>
      <c r="D100" s="1">
        <v>0</v>
      </c>
      <c r="E100" s="2">
        <v>0</v>
      </c>
    </row>
    <row r="101" spans="1:5" x14ac:dyDescent="0.25">
      <c r="A101" s="1" t="s">
        <v>100</v>
      </c>
      <c r="B101" s="1">
        <v>1455.9597824340001</v>
      </c>
      <c r="C101" s="2">
        <v>1745594.53</v>
      </c>
      <c r="D101" s="1">
        <v>477.31889986499988</v>
      </c>
      <c r="E101" s="2">
        <v>505389.15659999987</v>
      </c>
    </row>
    <row r="102" spans="1:5" x14ac:dyDescent="0.25">
      <c r="A102" s="1" t="s">
        <v>101</v>
      </c>
      <c r="B102" s="1">
        <v>0</v>
      </c>
      <c r="C102" s="2">
        <v>0</v>
      </c>
      <c r="D102" s="1">
        <v>3.180985041</v>
      </c>
      <c r="E102" s="2">
        <v>3772.6907999999999</v>
      </c>
    </row>
    <row r="103" spans="1:5" x14ac:dyDescent="0.25">
      <c r="A103" s="1" t="s">
        <v>102</v>
      </c>
      <c r="B103" s="1">
        <v>1126.915867636</v>
      </c>
      <c r="C103" s="2">
        <v>2008284.4</v>
      </c>
      <c r="D103" s="1">
        <v>0</v>
      </c>
      <c r="E103" s="2">
        <v>0</v>
      </c>
    </row>
    <row r="104" spans="1:5" x14ac:dyDescent="0.25">
      <c r="A104" s="1" t="s">
        <v>103</v>
      </c>
      <c r="B104" s="1">
        <v>30.16</v>
      </c>
      <c r="C104" s="2">
        <v>45481</v>
      </c>
      <c r="D104" s="1">
        <v>0</v>
      </c>
      <c r="E104" s="2">
        <v>0</v>
      </c>
    </row>
    <row r="105" spans="1:5" x14ac:dyDescent="0.25">
      <c r="A105" s="1" t="s">
        <v>104</v>
      </c>
      <c r="B105" s="1">
        <v>110.7930338</v>
      </c>
      <c r="C105" s="2">
        <v>158762.1</v>
      </c>
      <c r="D105" s="1">
        <v>0</v>
      </c>
      <c r="E105" s="2">
        <v>0</v>
      </c>
    </row>
    <row r="106" spans="1:5" x14ac:dyDescent="0.25">
      <c r="A106" s="1" t="s">
        <v>105</v>
      </c>
      <c r="B106" s="1">
        <v>0</v>
      </c>
      <c r="C106" s="2">
        <v>0</v>
      </c>
      <c r="D106" s="1">
        <v>6.9564812489999994</v>
      </c>
      <c r="E106" s="2">
        <v>6762.806700000001</v>
      </c>
    </row>
    <row r="107" spans="1:5" x14ac:dyDescent="0.25">
      <c r="A107" s="1" t="s">
        <v>106</v>
      </c>
      <c r="B107" s="1">
        <v>1.8146420190000001</v>
      </c>
      <c r="C107" s="2">
        <v>3937.7</v>
      </c>
      <c r="D107" s="1">
        <v>0</v>
      </c>
      <c r="E107" s="2">
        <v>0</v>
      </c>
    </row>
    <row r="108" spans="1:5" x14ac:dyDescent="0.25">
      <c r="A108" s="1" t="s">
        <v>107</v>
      </c>
      <c r="B108" s="1">
        <v>0</v>
      </c>
      <c r="C108" s="2">
        <v>0</v>
      </c>
      <c r="D108" s="1">
        <v>1.3851767850000001</v>
      </c>
      <c r="E108" s="2">
        <v>3537.5652</v>
      </c>
    </row>
    <row r="109" spans="1:5" x14ac:dyDescent="0.25">
      <c r="A109" s="1" t="s">
        <v>108</v>
      </c>
      <c r="B109" s="1">
        <v>10.93126004</v>
      </c>
      <c r="C109" s="2">
        <v>17236.650000000001</v>
      </c>
      <c r="D109" s="1">
        <v>0</v>
      </c>
      <c r="E109" s="2">
        <v>0</v>
      </c>
    </row>
    <row r="110" spans="1:5" x14ac:dyDescent="0.25">
      <c r="A110" s="1" t="s">
        <v>109</v>
      </c>
      <c r="B110" s="1">
        <v>31.79</v>
      </c>
      <c r="C110" s="2">
        <v>49088</v>
      </c>
      <c r="D110" s="1">
        <v>25.479684219999999</v>
      </c>
      <c r="E110" s="2">
        <v>86109.103199999983</v>
      </c>
    </row>
    <row r="111" spans="1:5" x14ac:dyDescent="0.25">
      <c r="A111" s="1" t="s">
        <v>110</v>
      </c>
      <c r="B111" s="1">
        <v>34.69</v>
      </c>
      <c r="C111" s="2">
        <v>62179.7</v>
      </c>
      <c r="D111" s="1">
        <v>0</v>
      </c>
      <c r="E111" s="2">
        <v>0</v>
      </c>
    </row>
    <row r="112" spans="1:5" x14ac:dyDescent="0.25">
      <c r="A112" s="1" t="s">
        <v>111</v>
      </c>
      <c r="B112" s="1">
        <v>77.5</v>
      </c>
      <c r="C112" s="2">
        <v>117180.72</v>
      </c>
      <c r="D112" s="1">
        <v>0</v>
      </c>
      <c r="E112" s="2">
        <v>0</v>
      </c>
    </row>
    <row r="113" spans="1:5" x14ac:dyDescent="0.25">
      <c r="A113" s="1" t="s">
        <v>112</v>
      </c>
      <c r="B113" s="1">
        <v>0</v>
      </c>
      <c r="C113" s="2">
        <v>0</v>
      </c>
      <c r="D113" s="1">
        <v>0.99192850700000001</v>
      </c>
      <c r="E113" s="2">
        <v>2339.5171999999998</v>
      </c>
    </row>
    <row r="114" spans="1:5" x14ac:dyDescent="0.25">
      <c r="A114" s="1" t="s">
        <v>113</v>
      </c>
      <c r="B114" s="1">
        <v>2383.21772057</v>
      </c>
      <c r="C114" s="2">
        <v>3064618.77</v>
      </c>
      <c r="D114" s="1">
        <v>0</v>
      </c>
      <c r="E114" s="2">
        <v>0</v>
      </c>
    </row>
    <row r="115" spans="1:5" x14ac:dyDescent="0.25">
      <c r="A115" s="1" t="s">
        <v>114</v>
      </c>
      <c r="B115" s="1">
        <v>0</v>
      </c>
      <c r="C115" s="2">
        <v>0</v>
      </c>
      <c r="D115" s="1">
        <v>1.6891031649999999</v>
      </c>
      <c r="E115" s="2">
        <v>2020.8875</v>
      </c>
    </row>
    <row r="116" spans="1:5" x14ac:dyDescent="0.25">
      <c r="A116" s="1" t="s">
        <v>115</v>
      </c>
      <c r="B116" s="1">
        <v>35.441170810000003</v>
      </c>
      <c r="C116" s="2">
        <v>50513.5</v>
      </c>
      <c r="D116" s="1">
        <v>0</v>
      </c>
      <c r="E116" s="2">
        <v>0</v>
      </c>
    </row>
    <row r="117" spans="1:5" x14ac:dyDescent="0.25">
      <c r="A117" s="1" t="s">
        <v>116</v>
      </c>
      <c r="B117" s="1">
        <v>12.36</v>
      </c>
      <c r="C117" s="2">
        <v>26195.3</v>
      </c>
      <c r="D117" s="1">
        <v>0</v>
      </c>
      <c r="E117" s="2">
        <v>0</v>
      </c>
    </row>
    <row r="118" spans="1:5" x14ac:dyDescent="0.25">
      <c r="A118" s="1" t="s">
        <v>117</v>
      </c>
      <c r="B118" s="1">
        <v>0</v>
      </c>
      <c r="C118" s="2">
        <v>0</v>
      </c>
      <c r="D118" s="1">
        <v>96.891363130000002</v>
      </c>
      <c r="E118" s="2">
        <v>78549.833199999994</v>
      </c>
    </row>
    <row r="119" spans="1:5" x14ac:dyDescent="0.25">
      <c r="A119" t="s">
        <v>122</v>
      </c>
      <c r="B119" s="1">
        <f>SUBTOTAL(109,Table1[Column2])</f>
        <v>45502.134420065013</v>
      </c>
      <c r="C119" s="2">
        <f>SUBTOTAL(109,Table1[Column3])</f>
        <v>68232631.469999999</v>
      </c>
      <c r="D119" s="1">
        <f>SUBTOTAL(109,Table1[Column4])</f>
        <v>4743.9085145460012</v>
      </c>
      <c r="E119" s="2">
        <f>SUBTOTAL(109,Table1[Column5])</f>
        <v>5293407.5226559993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E13"/>
  <sheetViews>
    <sheetView workbookViewId="0"/>
  </sheetViews>
  <sheetFormatPr defaultRowHeight="15" x14ac:dyDescent="0.25"/>
  <cols>
    <col min="1" max="1" width="31.42578125" style="1" bestFit="1" customWidth="1"/>
    <col min="2" max="2" width="11.85546875" style="1" bestFit="1" customWidth="1"/>
    <col min="3" max="3" width="28" style="2" bestFit="1" customWidth="1"/>
    <col min="4" max="4" width="12.140625" style="1" bestFit="1" customWidth="1"/>
    <col min="5" max="5" width="25.7109375" style="2" bestFit="1" customWidth="1"/>
  </cols>
  <sheetData>
    <row r="1" spans="1:5" x14ac:dyDescent="0.25">
      <c r="A1" s="1" t="s">
        <v>0</v>
      </c>
      <c r="B1" s="1" t="s">
        <v>118</v>
      </c>
      <c r="C1" s="2" t="s">
        <v>119</v>
      </c>
      <c r="D1" s="1" t="s">
        <v>120</v>
      </c>
      <c r="E1" s="2" t="s">
        <v>121</v>
      </c>
    </row>
    <row r="2" spans="1:5" x14ac:dyDescent="0.25">
      <c r="A2" s="1" t="s">
        <v>20</v>
      </c>
      <c r="B2" s="1">
        <v>62.343667879999998</v>
      </c>
      <c r="C2" s="2">
        <v>111537.5</v>
      </c>
      <c r="D2" s="1">
        <v>0</v>
      </c>
      <c r="E2" s="2">
        <v>0</v>
      </c>
    </row>
    <row r="3" spans="1:5" x14ac:dyDescent="0.25">
      <c r="A3" s="1" t="s">
        <v>26</v>
      </c>
      <c r="B3" s="1">
        <v>11.72</v>
      </c>
      <c r="C3" s="2">
        <v>18715.5</v>
      </c>
      <c r="D3" s="1">
        <v>0</v>
      </c>
      <c r="E3" s="2">
        <v>0</v>
      </c>
    </row>
    <row r="4" spans="1:5" x14ac:dyDescent="0.25">
      <c r="A4" s="1" t="s">
        <v>37</v>
      </c>
      <c r="B4" s="1">
        <v>257.67418172999999</v>
      </c>
      <c r="C4" s="2">
        <v>453733.7</v>
      </c>
      <c r="D4" s="1">
        <v>0</v>
      </c>
      <c r="E4" s="2">
        <v>0</v>
      </c>
    </row>
    <row r="5" spans="1:5" x14ac:dyDescent="0.25">
      <c r="A5" s="1" t="s">
        <v>45</v>
      </c>
      <c r="B5" s="1">
        <v>408.54913579999999</v>
      </c>
      <c r="C5" s="2">
        <v>681474.1</v>
      </c>
      <c r="D5" s="1">
        <v>0</v>
      </c>
      <c r="E5" s="2">
        <v>0</v>
      </c>
    </row>
    <row r="6" spans="1:5" x14ac:dyDescent="0.25">
      <c r="A6" s="1" t="s">
        <v>59</v>
      </c>
      <c r="B6" s="1">
        <v>82</v>
      </c>
      <c r="C6" s="2">
        <v>130880.7</v>
      </c>
      <c r="D6" s="1">
        <v>0</v>
      </c>
      <c r="E6" s="2">
        <v>0</v>
      </c>
    </row>
    <row r="7" spans="1:5" x14ac:dyDescent="0.25">
      <c r="A7" s="1" t="s">
        <v>63</v>
      </c>
      <c r="B7" s="1">
        <v>2517.2852409709999</v>
      </c>
      <c r="C7" s="2">
        <v>3621983.05</v>
      </c>
      <c r="D7" s="1">
        <v>0</v>
      </c>
      <c r="E7" s="2">
        <v>0</v>
      </c>
    </row>
    <row r="8" spans="1:5" x14ac:dyDescent="0.25">
      <c r="A8" s="1" t="s">
        <v>68</v>
      </c>
      <c r="B8" s="1">
        <v>266.73709432999999</v>
      </c>
      <c r="C8" s="2">
        <v>447446.45</v>
      </c>
      <c r="D8" s="1">
        <v>0</v>
      </c>
      <c r="E8" s="2">
        <v>0</v>
      </c>
    </row>
    <row r="9" spans="1:5" x14ac:dyDescent="0.25">
      <c r="A9" s="1" t="s">
        <v>74</v>
      </c>
      <c r="B9" s="1">
        <v>522.44278560000009</v>
      </c>
      <c r="C9" s="2">
        <v>647805.5</v>
      </c>
      <c r="D9" s="1">
        <v>0</v>
      </c>
      <c r="E9" s="2">
        <v>0</v>
      </c>
    </row>
    <row r="10" spans="1:5" x14ac:dyDescent="0.25">
      <c r="A10" s="1" t="s">
        <v>81</v>
      </c>
      <c r="B10" s="1">
        <v>389.81535029999998</v>
      </c>
      <c r="C10" s="2">
        <v>749539.7</v>
      </c>
      <c r="D10" s="1">
        <v>0</v>
      </c>
      <c r="E10" s="2">
        <v>0</v>
      </c>
    </row>
    <row r="11" spans="1:5" x14ac:dyDescent="0.25">
      <c r="A11" s="1" t="s">
        <v>90</v>
      </c>
      <c r="B11" s="1">
        <v>1314.6276221000001</v>
      </c>
      <c r="C11" s="2">
        <v>2091681.15</v>
      </c>
      <c r="D11" s="1">
        <v>0</v>
      </c>
      <c r="E11" s="2">
        <v>0</v>
      </c>
    </row>
    <row r="12" spans="1:5" x14ac:dyDescent="0.25">
      <c r="A12" s="1" t="s">
        <v>102</v>
      </c>
      <c r="B12" s="1">
        <v>321.26424603599997</v>
      </c>
      <c r="C12" s="2">
        <v>645393.55000000005</v>
      </c>
      <c r="D12" s="1">
        <v>0</v>
      </c>
      <c r="E12" s="2">
        <v>0</v>
      </c>
    </row>
    <row r="13" spans="1:5" x14ac:dyDescent="0.25">
      <c r="A13" t="s">
        <v>122</v>
      </c>
      <c r="B13" s="1">
        <f>SUBTOTAL(109,Table14[Column2])</f>
        <v>6154.4593247470002</v>
      </c>
      <c r="C13" s="2">
        <f>SUBTOTAL(109,Table14[Column3])</f>
        <v>9600190.9000000004</v>
      </c>
      <c r="D13" s="1">
        <f>SUBTOTAL(109,Table14[Column4])</f>
        <v>0</v>
      </c>
      <c r="E13" s="2">
        <f>SUBTOTAL(109,Table14[Column5])</f>
        <v>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17"/>
  <sheetViews>
    <sheetView workbookViewId="0"/>
  </sheetViews>
  <sheetFormatPr defaultRowHeight="15" x14ac:dyDescent="0.25"/>
  <cols>
    <col min="1" max="1" width="31" style="1" bestFit="1" customWidth="1"/>
    <col min="2" max="2" width="11.85546875" style="1" bestFit="1" customWidth="1"/>
    <col min="3" max="3" width="28" style="2" bestFit="1" customWidth="1"/>
    <col min="4" max="4" width="12.140625" style="1" bestFit="1" customWidth="1"/>
    <col min="5" max="5" width="25.7109375" style="2" bestFit="1" customWidth="1"/>
  </cols>
  <sheetData>
    <row r="1" spans="1:5" x14ac:dyDescent="0.25">
      <c r="A1" s="1" t="s">
        <v>0</v>
      </c>
      <c r="B1" s="1" t="s">
        <v>118</v>
      </c>
      <c r="C1" s="2" t="s">
        <v>119</v>
      </c>
      <c r="D1" s="1" t="s">
        <v>120</v>
      </c>
      <c r="E1" s="2" t="s">
        <v>121</v>
      </c>
    </row>
    <row r="2" spans="1:5" x14ac:dyDescent="0.25">
      <c r="A2" s="1" t="s">
        <v>7</v>
      </c>
      <c r="B2" s="1">
        <v>50.01</v>
      </c>
      <c r="C2" s="2">
        <v>78299.399999999994</v>
      </c>
      <c r="D2" s="1">
        <v>0</v>
      </c>
      <c r="E2" s="2">
        <v>0</v>
      </c>
    </row>
    <row r="3" spans="1:5" x14ac:dyDescent="0.25">
      <c r="A3" s="1" t="s">
        <v>15</v>
      </c>
      <c r="B3" s="1">
        <v>0</v>
      </c>
      <c r="C3" s="2">
        <v>0</v>
      </c>
      <c r="D3" s="1">
        <v>22.83868764</v>
      </c>
      <c r="E3" s="2">
        <v>25391.73</v>
      </c>
    </row>
    <row r="4" spans="1:5" x14ac:dyDescent="0.25">
      <c r="A4" s="1" t="s">
        <v>22</v>
      </c>
      <c r="B4" s="1">
        <v>476.910469003</v>
      </c>
      <c r="C4" s="2">
        <v>659632.19999999995</v>
      </c>
      <c r="D4" s="1">
        <v>0</v>
      </c>
      <c r="E4" s="2">
        <v>0</v>
      </c>
    </row>
    <row r="5" spans="1:5" x14ac:dyDescent="0.25">
      <c r="A5" s="1" t="s">
        <v>23</v>
      </c>
      <c r="B5" s="1">
        <v>165.22</v>
      </c>
      <c r="C5" s="2">
        <v>256002.79</v>
      </c>
      <c r="D5" s="1">
        <v>0</v>
      </c>
      <c r="E5" s="2">
        <v>0</v>
      </c>
    </row>
    <row r="6" spans="1:5" x14ac:dyDescent="0.25">
      <c r="A6" s="1" t="s">
        <v>28</v>
      </c>
      <c r="B6" s="1">
        <v>43.010644910000003</v>
      </c>
      <c r="C6" s="2">
        <v>62390.9</v>
      </c>
      <c r="D6" s="1">
        <v>0</v>
      </c>
      <c r="E6" s="2">
        <v>0</v>
      </c>
    </row>
    <row r="7" spans="1:5" x14ac:dyDescent="0.25">
      <c r="A7" s="1" t="s">
        <v>34</v>
      </c>
      <c r="B7" s="1">
        <v>617.79606035000006</v>
      </c>
      <c r="C7" s="2">
        <v>900756</v>
      </c>
      <c r="D7" s="1">
        <v>0</v>
      </c>
      <c r="E7" s="2">
        <v>0</v>
      </c>
    </row>
    <row r="8" spans="1:5" x14ac:dyDescent="0.25">
      <c r="A8" s="1" t="s">
        <v>50</v>
      </c>
      <c r="B8" s="1">
        <v>25.079237890000002</v>
      </c>
      <c r="C8" s="2">
        <v>42593.25</v>
      </c>
      <c r="D8" s="1">
        <v>0</v>
      </c>
      <c r="E8" s="2">
        <v>0</v>
      </c>
    </row>
    <row r="9" spans="1:5" x14ac:dyDescent="0.25">
      <c r="A9" s="1" t="s">
        <v>57</v>
      </c>
      <c r="B9" s="1">
        <v>0</v>
      </c>
      <c r="C9" s="2">
        <v>0</v>
      </c>
      <c r="D9" s="1">
        <v>24.853363309999999</v>
      </c>
      <c r="E9" s="2">
        <v>25135.1554</v>
      </c>
    </row>
    <row r="10" spans="1:5" x14ac:dyDescent="0.25">
      <c r="A10" s="1" t="s">
        <v>63</v>
      </c>
      <c r="B10" s="1">
        <v>3149.0730165</v>
      </c>
      <c r="C10" s="2">
        <v>4628275.8000000007</v>
      </c>
      <c r="D10" s="1">
        <v>0</v>
      </c>
      <c r="E10" s="2">
        <v>0</v>
      </c>
    </row>
    <row r="11" spans="1:5" x14ac:dyDescent="0.25">
      <c r="A11" s="1" t="s">
        <v>64</v>
      </c>
      <c r="B11" s="1">
        <v>1340.3921233000001</v>
      </c>
      <c r="C11" s="2">
        <v>2028697.35</v>
      </c>
      <c r="D11" s="1">
        <v>0</v>
      </c>
      <c r="E11" s="2">
        <v>0</v>
      </c>
    </row>
    <row r="12" spans="1:5" x14ac:dyDescent="0.25">
      <c r="A12" s="1" t="s">
        <v>66</v>
      </c>
      <c r="B12" s="1">
        <v>0</v>
      </c>
      <c r="C12" s="2">
        <v>0</v>
      </c>
      <c r="D12" s="1">
        <v>9.8505204800000001</v>
      </c>
      <c r="E12" s="2">
        <v>10886.052</v>
      </c>
    </row>
    <row r="13" spans="1:5" x14ac:dyDescent="0.25">
      <c r="A13" s="1" t="s">
        <v>73</v>
      </c>
      <c r="B13" s="1">
        <v>20.2</v>
      </c>
      <c r="C13" s="2">
        <v>31262.5</v>
      </c>
      <c r="D13" s="1">
        <v>0</v>
      </c>
      <c r="E13" s="2">
        <v>0</v>
      </c>
    </row>
    <row r="14" spans="1:5" x14ac:dyDescent="0.25">
      <c r="A14" s="1" t="s">
        <v>87</v>
      </c>
      <c r="B14" s="1">
        <v>96.21</v>
      </c>
      <c r="C14" s="2">
        <v>228343</v>
      </c>
      <c r="D14" s="1">
        <v>0</v>
      </c>
      <c r="E14" s="2">
        <v>0</v>
      </c>
    </row>
    <row r="15" spans="1:5" x14ac:dyDescent="0.25">
      <c r="A15" s="1" t="s">
        <v>91</v>
      </c>
      <c r="B15" s="1">
        <v>4340.2956537950013</v>
      </c>
      <c r="C15" s="2">
        <v>6262457.2899999991</v>
      </c>
      <c r="D15" s="1">
        <v>5.9197998109999999</v>
      </c>
      <c r="E15" s="2">
        <v>7563.3805000000002</v>
      </c>
    </row>
    <row r="16" spans="1:5" x14ac:dyDescent="0.25">
      <c r="A16" s="1" t="s">
        <v>96</v>
      </c>
      <c r="B16" s="1">
        <v>25.74</v>
      </c>
      <c r="C16" s="2">
        <v>36007.25</v>
      </c>
      <c r="D16" s="1">
        <v>0</v>
      </c>
      <c r="E16" s="2">
        <v>0</v>
      </c>
    </row>
    <row r="17" spans="1:5" x14ac:dyDescent="0.25">
      <c r="A17" t="s">
        <v>122</v>
      </c>
      <c r="B17" s="1">
        <f>SUBTOTAL(109,Table8[Column2])</f>
        <v>10349.937205748001</v>
      </c>
      <c r="C17" s="2">
        <f>SUBTOTAL(109,Table8[Column3])</f>
        <v>15214717.73</v>
      </c>
      <c r="D17" s="1">
        <f>SUBTOTAL(109,Table8[Column4])</f>
        <v>63.462371240999992</v>
      </c>
      <c r="E17" s="2">
        <f>SUBTOTAL(109,Table8[Column5])</f>
        <v>68976.317899999995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E5"/>
  <sheetViews>
    <sheetView workbookViewId="0"/>
  </sheetViews>
  <sheetFormatPr defaultRowHeight="15" x14ac:dyDescent="0.25"/>
  <cols>
    <col min="1" max="1" width="31" style="1" bestFit="1" customWidth="1"/>
    <col min="2" max="2" width="11.85546875" style="1" bestFit="1" customWidth="1"/>
    <col min="3" max="3" width="28" style="2" bestFit="1" customWidth="1"/>
    <col min="4" max="4" width="12.140625" style="1" bestFit="1" customWidth="1"/>
    <col min="5" max="5" width="25.7109375" style="2" bestFit="1" customWidth="1"/>
  </cols>
  <sheetData>
    <row r="1" spans="1:5" x14ac:dyDescent="0.25">
      <c r="A1" s="1" t="s">
        <v>0</v>
      </c>
      <c r="B1" s="1" t="s">
        <v>118</v>
      </c>
      <c r="C1" s="2" t="s">
        <v>119</v>
      </c>
      <c r="D1" s="1" t="s">
        <v>120</v>
      </c>
      <c r="E1" s="2" t="s">
        <v>121</v>
      </c>
    </row>
    <row r="2" spans="1:5" x14ac:dyDescent="0.25">
      <c r="A2" s="1" t="s">
        <v>29</v>
      </c>
      <c r="B2" s="1">
        <v>60.606614460000003</v>
      </c>
      <c r="C2" s="2">
        <v>83990.5</v>
      </c>
      <c r="D2" s="1">
        <v>0</v>
      </c>
      <c r="E2" s="2">
        <v>0</v>
      </c>
    </row>
    <row r="3" spans="1:5" x14ac:dyDescent="0.25">
      <c r="A3" s="1" t="s">
        <v>49</v>
      </c>
      <c r="B3" s="1">
        <v>0</v>
      </c>
      <c r="C3" s="2">
        <v>0</v>
      </c>
      <c r="D3" s="1">
        <v>16.05569225</v>
      </c>
      <c r="E3" s="2">
        <v>18321.367999999999</v>
      </c>
    </row>
    <row r="4" spans="1:5" x14ac:dyDescent="0.25">
      <c r="A4" s="1" t="s">
        <v>65</v>
      </c>
      <c r="B4" s="1">
        <v>3.36</v>
      </c>
      <c r="C4" s="2">
        <v>6798.15</v>
      </c>
      <c r="D4" s="1">
        <v>0</v>
      </c>
      <c r="E4" s="2">
        <v>0</v>
      </c>
    </row>
    <row r="5" spans="1:5" x14ac:dyDescent="0.25">
      <c r="A5" t="s">
        <v>122</v>
      </c>
      <c r="B5" s="1">
        <f>SUBTOTAL(109,Table12[Column2])</f>
        <v>63.966614460000002</v>
      </c>
      <c r="C5" s="2">
        <f>SUBTOTAL(109,Table12[Column3])</f>
        <v>90788.65</v>
      </c>
      <c r="D5" s="1">
        <f>SUBTOTAL(109,Table12[Column4])</f>
        <v>16.05569225</v>
      </c>
      <c r="E5" s="2">
        <f>SUBTOTAL(109,Table12[Column5])</f>
        <v>18321.367999999999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15"/>
  <sheetViews>
    <sheetView workbookViewId="0"/>
  </sheetViews>
  <sheetFormatPr defaultRowHeight="15" x14ac:dyDescent="0.25"/>
  <cols>
    <col min="1" max="1" width="33.28515625" style="1" bestFit="1" customWidth="1"/>
    <col min="2" max="2" width="11.85546875" style="1" bestFit="1" customWidth="1"/>
    <col min="3" max="3" width="28" style="2" bestFit="1" customWidth="1"/>
    <col min="4" max="4" width="12.140625" style="1" bestFit="1" customWidth="1"/>
    <col min="5" max="5" width="25.7109375" style="2" bestFit="1" customWidth="1"/>
  </cols>
  <sheetData>
    <row r="1" spans="1:5" x14ac:dyDescent="0.25">
      <c r="A1" s="1" t="s">
        <v>0</v>
      </c>
      <c r="B1" s="1" t="s">
        <v>118</v>
      </c>
      <c r="C1" s="2" t="s">
        <v>119</v>
      </c>
      <c r="D1" s="1" t="s">
        <v>120</v>
      </c>
      <c r="E1" s="2" t="s">
        <v>121</v>
      </c>
    </row>
    <row r="2" spans="1:5" x14ac:dyDescent="0.25">
      <c r="A2" s="1" t="s">
        <v>2</v>
      </c>
      <c r="B2" s="1">
        <v>1.42</v>
      </c>
      <c r="C2" s="2">
        <v>7858.4</v>
      </c>
      <c r="D2" s="1">
        <v>0</v>
      </c>
      <c r="E2" s="2">
        <v>0</v>
      </c>
    </row>
    <row r="3" spans="1:5" x14ac:dyDescent="0.25">
      <c r="A3" s="1" t="s">
        <v>27</v>
      </c>
      <c r="B3" s="1">
        <v>13.08</v>
      </c>
      <c r="C3" s="2">
        <v>54102.2</v>
      </c>
      <c r="D3" s="1">
        <v>0</v>
      </c>
      <c r="E3" s="2">
        <v>0</v>
      </c>
    </row>
    <row r="4" spans="1:5" x14ac:dyDescent="0.25">
      <c r="A4" s="1" t="s">
        <v>31</v>
      </c>
      <c r="B4" s="1">
        <v>112.97</v>
      </c>
      <c r="C4" s="2">
        <v>242436</v>
      </c>
      <c r="D4" s="1">
        <v>0</v>
      </c>
      <c r="E4" s="2">
        <v>0</v>
      </c>
    </row>
    <row r="5" spans="1:5" x14ac:dyDescent="0.25">
      <c r="A5" s="1" t="s">
        <v>41</v>
      </c>
      <c r="B5" s="1">
        <v>562.70080200000007</v>
      </c>
      <c r="C5" s="2">
        <v>960686.32000000007</v>
      </c>
      <c r="D5" s="1">
        <v>0</v>
      </c>
      <c r="E5" s="2">
        <v>0</v>
      </c>
    </row>
    <row r="6" spans="1:5" x14ac:dyDescent="0.25">
      <c r="A6" s="1" t="s">
        <v>48</v>
      </c>
      <c r="B6" s="1">
        <v>79.978559097999991</v>
      </c>
      <c r="C6" s="2">
        <v>128545.9</v>
      </c>
      <c r="D6" s="1">
        <v>0</v>
      </c>
      <c r="E6" s="2">
        <v>0</v>
      </c>
    </row>
    <row r="7" spans="1:5" x14ac:dyDescent="0.25">
      <c r="A7" s="1" t="s">
        <v>61</v>
      </c>
      <c r="B7" s="1">
        <v>6.86</v>
      </c>
      <c r="C7" s="2">
        <v>29185</v>
      </c>
      <c r="D7" s="1">
        <v>0</v>
      </c>
      <c r="E7" s="2">
        <v>0</v>
      </c>
    </row>
    <row r="8" spans="1:5" x14ac:dyDescent="0.25">
      <c r="A8" s="1" t="s">
        <v>76</v>
      </c>
      <c r="B8" s="1">
        <v>853.30389348000006</v>
      </c>
      <c r="C8" s="2">
        <v>1248699.3999999999</v>
      </c>
      <c r="D8" s="1">
        <v>0</v>
      </c>
      <c r="E8" s="2">
        <v>0</v>
      </c>
    </row>
    <row r="9" spans="1:5" x14ac:dyDescent="0.25">
      <c r="A9" s="1" t="s">
        <v>79</v>
      </c>
      <c r="B9" s="1">
        <v>530.24</v>
      </c>
      <c r="C9" s="2">
        <v>671510.20000000007</v>
      </c>
      <c r="D9" s="1">
        <v>0</v>
      </c>
      <c r="E9" s="2">
        <v>0</v>
      </c>
    </row>
    <row r="10" spans="1:5" x14ac:dyDescent="0.25">
      <c r="A10" s="1" t="s">
        <v>82</v>
      </c>
      <c r="B10" s="1">
        <v>1.02</v>
      </c>
      <c r="C10" s="2">
        <v>2862.85</v>
      </c>
      <c r="D10" s="1">
        <v>0</v>
      </c>
      <c r="E10" s="2">
        <v>0</v>
      </c>
    </row>
    <row r="11" spans="1:5" x14ac:dyDescent="0.25">
      <c r="A11" s="1" t="s">
        <v>86</v>
      </c>
      <c r="B11" s="1">
        <v>3.02</v>
      </c>
      <c r="C11" s="2">
        <v>7447.35</v>
      </c>
      <c r="D11" s="1">
        <v>0</v>
      </c>
      <c r="E11" s="2">
        <v>0</v>
      </c>
    </row>
    <row r="12" spans="1:5" x14ac:dyDescent="0.25">
      <c r="A12" s="1" t="s">
        <v>94</v>
      </c>
      <c r="B12" s="1">
        <v>6.91</v>
      </c>
      <c r="C12" s="2">
        <v>12459.1</v>
      </c>
      <c r="D12" s="1">
        <v>0</v>
      </c>
      <c r="E12" s="2">
        <v>0</v>
      </c>
    </row>
    <row r="13" spans="1:5" x14ac:dyDescent="0.25">
      <c r="A13" s="1" t="s">
        <v>98</v>
      </c>
      <c r="B13" s="1">
        <v>68.874382090000012</v>
      </c>
      <c r="C13" s="2">
        <v>108024.8</v>
      </c>
      <c r="D13" s="1">
        <v>0</v>
      </c>
      <c r="E13" s="2">
        <v>0</v>
      </c>
    </row>
    <row r="14" spans="1:5" x14ac:dyDescent="0.25">
      <c r="A14" s="1" t="s">
        <v>110</v>
      </c>
      <c r="B14" s="1">
        <v>34.69</v>
      </c>
      <c r="C14" s="2">
        <v>62179.7</v>
      </c>
      <c r="D14" s="1">
        <v>0</v>
      </c>
      <c r="E14" s="2">
        <v>0</v>
      </c>
    </row>
    <row r="15" spans="1:5" x14ac:dyDescent="0.25">
      <c r="A15" t="s">
        <v>122</v>
      </c>
      <c r="B15" s="1">
        <f>SUBTOTAL(109,Table9[Column2])</f>
        <v>2275.067636668</v>
      </c>
      <c r="C15" s="2">
        <f>SUBTOTAL(109,Table9[Column3])</f>
        <v>3535997.22</v>
      </c>
      <c r="D15" s="1">
        <f>SUBTOTAL(109,Table9[Column4])</f>
        <v>0</v>
      </c>
      <c r="E15" s="2">
        <f>SUBTOTAL(109,Table9[Column5])</f>
        <v>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12"/>
  <sheetViews>
    <sheetView workbookViewId="0"/>
  </sheetViews>
  <sheetFormatPr defaultRowHeight="15" x14ac:dyDescent="0.25"/>
  <cols>
    <col min="1" max="1" width="28.7109375" style="1" bestFit="1" customWidth="1"/>
    <col min="2" max="2" width="11.85546875" style="1" bestFit="1" customWidth="1"/>
    <col min="3" max="3" width="28" style="2" bestFit="1" customWidth="1"/>
    <col min="4" max="4" width="12.140625" style="1" bestFit="1" customWidth="1"/>
    <col min="5" max="5" width="25.7109375" style="2" bestFit="1" customWidth="1"/>
  </cols>
  <sheetData>
    <row r="1" spans="1:5" x14ac:dyDescent="0.25">
      <c r="A1" s="1" t="s">
        <v>0</v>
      </c>
      <c r="B1" s="1" t="s">
        <v>118</v>
      </c>
      <c r="C1" s="2" t="s">
        <v>119</v>
      </c>
      <c r="D1" s="1" t="s">
        <v>120</v>
      </c>
      <c r="E1" s="2" t="s">
        <v>121</v>
      </c>
    </row>
    <row r="2" spans="1:5" x14ac:dyDescent="0.25">
      <c r="A2" s="1" t="s">
        <v>25</v>
      </c>
      <c r="B2" s="1">
        <v>30.905897100000001</v>
      </c>
      <c r="C2" s="2">
        <v>46691.8</v>
      </c>
      <c r="D2" s="1">
        <v>0</v>
      </c>
      <c r="E2" s="2">
        <v>0</v>
      </c>
    </row>
    <row r="3" spans="1:5" x14ac:dyDescent="0.25">
      <c r="A3" s="1" t="s">
        <v>29</v>
      </c>
      <c r="B3" s="1">
        <v>293.49925899999988</v>
      </c>
      <c r="C3" s="2">
        <v>454439.85</v>
      </c>
      <c r="D3" s="1">
        <v>0</v>
      </c>
      <c r="E3" s="2">
        <v>0</v>
      </c>
    </row>
    <row r="4" spans="1:5" x14ac:dyDescent="0.25">
      <c r="A4" s="1" t="s">
        <v>43</v>
      </c>
      <c r="B4" s="1">
        <v>18.08953928</v>
      </c>
      <c r="C4" s="2">
        <v>23868.3</v>
      </c>
      <c r="D4" s="1">
        <v>0</v>
      </c>
      <c r="E4" s="2">
        <v>0</v>
      </c>
    </row>
    <row r="5" spans="1:5" x14ac:dyDescent="0.25">
      <c r="A5" s="1" t="s">
        <v>62</v>
      </c>
      <c r="B5" s="1">
        <v>6.39</v>
      </c>
      <c r="C5" s="2">
        <v>10732.9</v>
      </c>
      <c r="D5" s="1">
        <v>0</v>
      </c>
      <c r="E5" s="2">
        <v>0</v>
      </c>
    </row>
    <row r="6" spans="1:5" x14ac:dyDescent="0.25">
      <c r="A6" s="1" t="s">
        <v>63</v>
      </c>
      <c r="B6" s="1">
        <v>14036.53651627</v>
      </c>
      <c r="C6" s="2">
        <v>21206669.52</v>
      </c>
      <c r="D6" s="1">
        <v>0</v>
      </c>
      <c r="E6" s="2">
        <v>0</v>
      </c>
    </row>
    <row r="7" spans="1:5" x14ac:dyDescent="0.25">
      <c r="A7" s="1" t="s">
        <v>67</v>
      </c>
      <c r="B7" s="1">
        <v>6.56</v>
      </c>
      <c r="C7" s="2">
        <v>9836.2999999999993</v>
      </c>
      <c r="D7" s="1">
        <v>0</v>
      </c>
      <c r="E7" s="2">
        <v>0</v>
      </c>
    </row>
    <row r="8" spans="1:5" x14ac:dyDescent="0.25">
      <c r="A8" s="1" t="s">
        <v>69</v>
      </c>
      <c r="B8" s="1">
        <v>673.52831939999999</v>
      </c>
      <c r="C8" s="2">
        <v>1017879.8</v>
      </c>
      <c r="D8" s="1">
        <v>0</v>
      </c>
      <c r="E8" s="2">
        <v>0</v>
      </c>
    </row>
    <row r="9" spans="1:5" x14ac:dyDescent="0.25">
      <c r="A9" s="1" t="s">
        <v>70</v>
      </c>
      <c r="B9" s="1">
        <v>42.15</v>
      </c>
      <c r="C9" s="2">
        <v>55655.35</v>
      </c>
      <c r="D9" s="1">
        <v>0</v>
      </c>
      <c r="E9" s="2">
        <v>0</v>
      </c>
    </row>
    <row r="10" spans="1:5" x14ac:dyDescent="0.25">
      <c r="A10" s="1" t="s">
        <v>97</v>
      </c>
      <c r="B10" s="1">
        <v>131.92197007999999</v>
      </c>
      <c r="C10" s="2">
        <v>205175.6</v>
      </c>
      <c r="D10" s="1">
        <v>60.341515370000003</v>
      </c>
      <c r="E10" s="2">
        <v>54142.883600000001</v>
      </c>
    </row>
    <row r="11" spans="1:5" x14ac:dyDescent="0.25">
      <c r="A11" s="1" t="s">
        <v>109</v>
      </c>
      <c r="B11" s="1">
        <v>31.79</v>
      </c>
      <c r="C11" s="2">
        <v>49088</v>
      </c>
      <c r="D11" s="1">
        <v>25.479684219999999</v>
      </c>
      <c r="E11" s="2">
        <v>86109.103199999983</v>
      </c>
    </row>
    <row r="12" spans="1:5" x14ac:dyDescent="0.25">
      <c r="A12" t="s">
        <v>122</v>
      </c>
      <c r="B12" s="1">
        <f>SUBTOTAL(109,Table6[Column2])</f>
        <v>15271.371501130001</v>
      </c>
      <c r="C12" s="2">
        <f>SUBTOTAL(109,Table6[Column3])</f>
        <v>23080037.420000006</v>
      </c>
      <c r="D12" s="1">
        <f>SUBTOTAL(109,Table6[Column4])</f>
        <v>85.821199590000006</v>
      </c>
      <c r="E12" s="2">
        <f>SUBTOTAL(109,Table6[Column5])</f>
        <v>140251.98679999998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0"/>
  <sheetViews>
    <sheetView workbookViewId="0"/>
  </sheetViews>
  <sheetFormatPr defaultRowHeight="15" x14ac:dyDescent="0.25"/>
  <cols>
    <col min="1" max="1" width="30.28515625" style="1" bestFit="1" customWidth="1"/>
    <col min="2" max="2" width="11.85546875" style="1" bestFit="1" customWidth="1"/>
    <col min="3" max="3" width="28" style="2" bestFit="1" customWidth="1"/>
    <col min="4" max="4" width="12.140625" style="1" bestFit="1" customWidth="1"/>
    <col min="5" max="5" width="25.7109375" style="2" bestFit="1" customWidth="1"/>
  </cols>
  <sheetData>
    <row r="1" spans="1:5" x14ac:dyDescent="0.25">
      <c r="A1" s="1" t="s">
        <v>0</v>
      </c>
      <c r="B1" s="1" t="s">
        <v>118</v>
      </c>
      <c r="C1" s="2" t="s">
        <v>119</v>
      </c>
      <c r="D1" s="1" t="s">
        <v>120</v>
      </c>
      <c r="E1" s="2" t="s">
        <v>121</v>
      </c>
    </row>
    <row r="2" spans="1:5" x14ac:dyDescent="0.25">
      <c r="A2" s="1" t="s">
        <v>24</v>
      </c>
      <c r="B2" s="1">
        <v>0</v>
      </c>
      <c r="C2" s="2">
        <v>0</v>
      </c>
      <c r="D2" s="1">
        <v>13.489833817999999</v>
      </c>
      <c r="E2" s="2">
        <v>12860.4336</v>
      </c>
    </row>
    <row r="3" spans="1:5" x14ac:dyDescent="0.25">
      <c r="A3" s="1" t="s">
        <v>39</v>
      </c>
      <c r="B3" s="1">
        <v>0.33</v>
      </c>
      <c r="C3" s="2">
        <v>298.25</v>
      </c>
      <c r="D3" s="1">
        <v>0.73679568599999989</v>
      </c>
      <c r="E3" s="2">
        <v>1416.4190000000001</v>
      </c>
    </row>
    <row r="4" spans="1:5" x14ac:dyDescent="0.25">
      <c r="A4" s="1" t="s">
        <v>40</v>
      </c>
      <c r="B4" s="1">
        <v>22.490765440000001</v>
      </c>
      <c r="C4" s="2">
        <v>31365.200000000001</v>
      </c>
      <c r="D4" s="1">
        <v>0</v>
      </c>
      <c r="E4" s="2">
        <v>0</v>
      </c>
    </row>
    <row r="5" spans="1:5" x14ac:dyDescent="0.25">
      <c r="A5" s="1" t="s">
        <v>57</v>
      </c>
      <c r="B5" s="1">
        <v>0</v>
      </c>
      <c r="C5" s="2">
        <v>0</v>
      </c>
      <c r="D5" s="1">
        <v>80.944107265</v>
      </c>
      <c r="E5" s="2">
        <v>80041.535000000003</v>
      </c>
    </row>
    <row r="6" spans="1:5" x14ac:dyDescent="0.25">
      <c r="A6" s="1" t="s">
        <v>78</v>
      </c>
      <c r="B6" s="1">
        <v>0</v>
      </c>
      <c r="C6" s="2">
        <v>0</v>
      </c>
      <c r="D6" s="1">
        <v>15.90278024</v>
      </c>
      <c r="E6" s="2">
        <v>15129.737999999999</v>
      </c>
    </row>
    <row r="7" spans="1:5" x14ac:dyDescent="0.25">
      <c r="A7" s="1" t="s">
        <v>80</v>
      </c>
      <c r="B7" s="1">
        <v>32.96</v>
      </c>
      <c r="C7" s="2">
        <v>44516.3</v>
      </c>
      <c r="D7" s="1">
        <v>0</v>
      </c>
      <c r="E7" s="2">
        <v>0</v>
      </c>
    </row>
    <row r="8" spans="1:5" x14ac:dyDescent="0.25">
      <c r="A8" s="1" t="s">
        <v>103</v>
      </c>
      <c r="B8" s="1">
        <v>30.16</v>
      </c>
      <c r="C8" s="2">
        <v>45481</v>
      </c>
      <c r="D8" s="1">
        <v>0</v>
      </c>
      <c r="E8" s="2">
        <v>0</v>
      </c>
    </row>
    <row r="9" spans="1:5" x14ac:dyDescent="0.25">
      <c r="A9" s="1" t="s">
        <v>114</v>
      </c>
      <c r="B9" s="1">
        <v>0</v>
      </c>
      <c r="C9" s="2">
        <v>0</v>
      </c>
      <c r="D9" s="1">
        <v>1.6891031649999999</v>
      </c>
      <c r="E9" s="2">
        <v>2020.8875</v>
      </c>
    </row>
    <row r="10" spans="1:5" x14ac:dyDescent="0.25">
      <c r="A10" s="1" t="s">
        <v>117</v>
      </c>
      <c r="B10" s="1">
        <v>0</v>
      </c>
      <c r="C10" s="2">
        <v>0</v>
      </c>
      <c r="D10" s="1">
        <v>96.891363130000002</v>
      </c>
      <c r="E10" s="2">
        <v>78549.833199999994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1"/>
  <sheetViews>
    <sheetView workbookViewId="0"/>
  </sheetViews>
  <sheetFormatPr defaultRowHeight="15" x14ac:dyDescent="0.25"/>
  <cols>
    <col min="1" max="1" width="28.140625" style="1" bestFit="1" customWidth="1"/>
    <col min="2" max="2" width="11.85546875" style="1" bestFit="1" customWidth="1"/>
    <col min="3" max="3" width="28" style="2" bestFit="1" customWidth="1"/>
    <col min="4" max="4" width="12.140625" style="1" bestFit="1" customWidth="1"/>
    <col min="5" max="5" width="25.7109375" style="2" bestFit="1" customWidth="1"/>
  </cols>
  <sheetData>
    <row r="1" spans="1:5" x14ac:dyDescent="0.25">
      <c r="A1" s="1" t="s">
        <v>0</v>
      </c>
      <c r="B1" s="1" t="s">
        <v>118</v>
      </c>
      <c r="C1" s="2" t="s">
        <v>119</v>
      </c>
      <c r="D1" s="1" t="s">
        <v>120</v>
      </c>
      <c r="E1" s="2" t="s">
        <v>121</v>
      </c>
    </row>
    <row r="2" spans="1:5" x14ac:dyDescent="0.25">
      <c r="A2" s="1" t="s">
        <v>6</v>
      </c>
      <c r="B2" s="1">
        <v>0</v>
      </c>
      <c r="C2" s="2">
        <v>0</v>
      </c>
      <c r="D2" s="1">
        <v>14.347567407</v>
      </c>
      <c r="E2" s="2">
        <v>20380.901399999999</v>
      </c>
    </row>
    <row r="3" spans="1:5" x14ac:dyDescent="0.25">
      <c r="A3" s="1" t="s">
        <v>11</v>
      </c>
      <c r="B3" s="1">
        <v>5.47</v>
      </c>
      <c r="C3" s="2">
        <v>16188.5</v>
      </c>
      <c r="D3" s="1">
        <v>0</v>
      </c>
      <c r="E3" s="2">
        <v>0</v>
      </c>
    </row>
    <row r="4" spans="1:5" x14ac:dyDescent="0.25">
      <c r="A4" s="1" t="s">
        <v>42</v>
      </c>
      <c r="B4" s="1">
        <v>0</v>
      </c>
      <c r="C4" s="2">
        <v>0</v>
      </c>
      <c r="D4" s="1">
        <v>16.81659046</v>
      </c>
      <c r="E4" s="2">
        <v>17666.400000000001</v>
      </c>
    </row>
    <row r="5" spans="1:5" x14ac:dyDescent="0.25">
      <c r="A5" s="1" t="s">
        <v>44</v>
      </c>
      <c r="B5" s="1">
        <v>0</v>
      </c>
      <c r="C5" s="2">
        <v>0</v>
      </c>
      <c r="D5" s="1">
        <v>38.181954011999998</v>
      </c>
      <c r="E5" s="2">
        <v>42297.334900000002</v>
      </c>
    </row>
    <row r="6" spans="1:5" x14ac:dyDescent="0.25">
      <c r="A6" s="1" t="s">
        <v>57</v>
      </c>
      <c r="B6" s="1">
        <v>0</v>
      </c>
      <c r="C6" s="2">
        <v>0</v>
      </c>
      <c r="D6" s="1">
        <v>678.14476755100009</v>
      </c>
      <c r="E6" s="2">
        <v>678917.14659299992</v>
      </c>
    </row>
    <row r="7" spans="1:5" x14ac:dyDescent="0.25">
      <c r="A7" s="1" t="s">
        <v>60</v>
      </c>
      <c r="B7" s="1">
        <v>8.26</v>
      </c>
      <c r="C7" s="2">
        <v>14436.3</v>
      </c>
      <c r="D7" s="1">
        <v>43.615734420000003</v>
      </c>
      <c r="E7" s="2">
        <v>43407.3318</v>
      </c>
    </row>
    <row r="8" spans="1:5" x14ac:dyDescent="0.25">
      <c r="A8" s="1" t="s">
        <v>83</v>
      </c>
      <c r="B8" s="1">
        <v>0</v>
      </c>
      <c r="C8" s="2">
        <v>0</v>
      </c>
      <c r="D8" s="1">
        <v>40.8672763</v>
      </c>
      <c r="E8" s="2">
        <v>45977.281199999998</v>
      </c>
    </row>
    <row r="9" spans="1:5" x14ac:dyDescent="0.25">
      <c r="A9" s="1" t="s">
        <v>92</v>
      </c>
      <c r="B9" s="1">
        <v>0</v>
      </c>
      <c r="C9" s="2">
        <v>0</v>
      </c>
      <c r="D9" s="1">
        <v>37.593672931</v>
      </c>
      <c r="E9" s="2">
        <v>39091.846400000002</v>
      </c>
    </row>
    <row r="10" spans="1:5" x14ac:dyDescent="0.25">
      <c r="A10" s="1" t="s">
        <v>95</v>
      </c>
      <c r="B10" s="1">
        <v>0</v>
      </c>
      <c r="C10" s="2">
        <v>0</v>
      </c>
      <c r="D10" s="1">
        <v>15.342639672000001</v>
      </c>
      <c r="E10" s="2">
        <v>16626.772000000001</v>
      </c>
    </row>
    <row r="11" spans="1:5" x14ac:dyDescent="0.25">
      <c r="A11" s="1" t="s">
        <v>112</v>
      </c>
      <c r="B11" s="1">
        <v>0</v>
      </c>
      <c r="C11" s="2">
        <v>0</v>
      </c>
      <c r="D11" s="1">
        <v>0.99192850700000001</v>
      </c>
      <c r="E11" s="2">
        <v>2339.5171999999998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27"/>
  <sheetViews>
    <sheetView workbookViewId="0"/>
  </sheetViews>
  <sheetFormatPr defaultRowHeight="15" x14ac:dyDescent="0.25"/>
  <cols>
    <col min="1" max="1" width="31.42578125" style="1" bestFit="1" customWidth="1"/>
    <col min="2" max="2" width="11.85546875" style="1" bestFit="1" customWidth="1"/>
    <col min="3" max="3" width="28" style="2" bestFit="1" customWidth="1"/>
    <col min="4" max="4" width="12.140625" style="1" bestFit="1" customWidth="1"/>
    <col min="5" max="5" width="25.7109375" style="2" bestFit="1" customWidth="1"/>
  </cols>
  <sheetData>
    <row r="1" spans="1:5" x14ac:dyDescent="0.25">
      <c r="A1" s="1" t="s">
        <v>0</v>
      </c>
      <c r="B1" s="1" t="s">
        <v>118</v>
      </c>
      <c r="C1" s="2" t="s">
        <v>119</v>
      </c>
      <c r="D1" s="1" t="s">
        <v>120</v>
      </c>
      <c r="E1" s="2" t="s">
        <v>121</v>
      </c>
    </row>
    <row r="2" spans="1:5" x14ac:dyDescent="0.25">
      <c r="A2" s="1" t="s">
        <v>1</v>
      </c>
      <c r="B2" s="1">
        <v>0</v>
      </c>
      <c r="C2" s="2">
        <v>0</v>
      </c>
      <c r="D2" s="1">
        <v>67.050297439999994</v>
      </c>
      <c r="E2" s="2">
        <v>69340.95</v>
      </c>
    </row>
    <row r="3" spans="1:5" x14ac:dyDescent="0.25">
      <c r="A3" s="1" t="s">
        <v>6</v>
      </c>
      <c r="B3" s="1">
        <v>0</v>
      </c>
      <c r="C3" s="2">
        <v>0</v>
      </c>
      <c r="D3" s="1">
        <v>37.22659548</v>
      </c>
      <c r="E3" s="2">
        <v>40430.746599999999</v>
      </c>
    </row>
    <row r="4" spans="1:5" x14ac:dyDescent="0.25">
      <c r="A4" s="1" t="s">
        <v>13</v>
      </c>
      <c r="B4" s="1">
        <v>0</v>
      </c>
      <c r="C4" s="2">
        <v>0</v>
      </c>
      <c r="D4" s="1">
        <v>53.704403065000001</v>
      </c>
      <c r="E4" s="2">
        <v>29626.1142</v>
      </c>
    </row>
    <row r="5" spans="1:5" x14ac:dyDescent="0.25">
      <c r="A5" s="1" t="s">
        <v>29</v>
      </c>
      <c r="B5" s="1">
        <v>0.36181834299999999</v>
      </c>
      <c r="C5" s="2">
        <v>0</v>
      </c>
      <c r="D5" s="1">
        <v>0</v>
      </c>
      <c r="E5" s="2">
        <v>0</v>
      </c>
    </row>
    <row r="6" spans="1:5" x14ac:dyDescent="0.25">
      <c r="A6" s="1" t="s">
        <v>32</v>
      </c>
      <c r="B6" s="1">
        <v>0</v>
      </c>
      <c r="C6" s="2">
        <v>0</v>
      </c>
      <c r="D6" s="1">
        <v>85.335908072000009</v>
      </c>
      <c r="E6" s="2">
        <v>84007.54</v>
      </c>
    </row>
    <row r="7" spans="1:5" x14ac:dyDescent="0.25">
      <c r="A7" s="1" t="s">
        <v>34</v>
      </c>
      <c r="B7" s="1">
        <v>0.22</v>
      </c>
      <c r="C7" s="2">
        <v>0</v>
      </c>
      <c r="D7" s="1">
        <v>0</v>
      </c>
      <c r="E7" s="2">
        <v>0</v>
      </c>
    </row>
    <row r="8" spans="1:5" x14ac:dyDescent="0.25">
      <c r="A8" s="1" t="s">
        <v>36</v>
      </c>
      <c r="B8" s="1">
        <v>341.78772294999999</v>
      </c>
      <c r="C8" s="2">
        <v>496909.82</v>
      </c>
      <c r="D8" s="1">
        <v>111.56856754</v>
      </c>
      <c r="E8" s="2">
        <v>122937.2553</v>
      </c>
    </row>
    <row r="9" spans="1:5" x14ac:dyDescent="0.25">
      <c r="A9" s="1" t="s">
        <v>39</v>
      </c>
      <c r="B9" s="1">
        <v>0</v>
      </c>
      <c r="C9" s="2">
        <v>0</v>
      </c>
      <c r="D9" s="1">
        <v>4.8151669979999996</v>
      </c>
      <c r="E9" s="2">
        <v>5002.2139999999999</v>
      </c>
    </row>
    <row r="10" spans="1:5" x14ac:dyDescent="0.25">
      <c r="A10" s="1" t="s">
        <v>40</v>
      </c>
      <c r="B10" s="1">
        <v>0</v>
      </c>
      <c r="C10" s="2">
        <v>0</v>
      </c>
      <c r="D10" s="1">
        <v>64.793949722000008</v>
      </c>
      <c r="E10" s="2">
        <v>64452.759891999987</v>
      </c>
    </row>
    <row r="11" spans="1:5" x14ac:dyDescent="0.25">
      <c r="A11" s="1" t="s">
        <v>41</v>
      </c>
      <c r="B11" s="1">
        <v>3.93</v>
      </c>
      <c r="C11" s="2">
        <v>7193</v>
      </c>
      <c r="D11" s="1">
        <v>0</v>
      </c>
      <c r="E11" s="2">
        <v>0</v>
      </c>
    </row>
    <row r="12" spans="1:5" x14ac:dyDescent="0.25">
      <c r="A12" s="1" t="s">
        <v>49</v>
      </c>
      <c r="B12" s="1">
        <v>0</v>
      </c>
      <c r="C12" s="2">
        <v>0</v>
      </c>
      <c r="D12" s="1">
        <v>74.410267039999994</v>
      </c>
      <c r="E12" s="2">
        <v>80355.983400000012</v>
      </c>
    </row>
    <row r="13" spans="1:5" x14ac:dyDescent="0.25">
      <c r="A13" s="1" t="s">
        <v>54</v>
      </c>
      <c r="B13" s="1">
        <v>0.71873870500000003</v>
      </c>
      <c r="C13" s="2">
        <v>0</v>
      </c>
      <c r="D13" s="1">
        <v>0</v>
      </c>
      <c r="E13" s="2">
        <v>0</v>
      </c>
    </row>
    <row r="14" spans="1:5" x14ac:dyDescent="0.25">
      <c r="A14" s="1" t="s">
        <v>56</v>
      </c>
      <c r="B14" s="1">
        <v>0</v>
      </c>
      <c r="C14" s="2">
        <v>0</v>
      </c>
      <c r="D14" s="1">
        <v>21.023869260000001</v>
      </c>
      <c r="E14" s="2">
        <v>74418.599999999991</v>
      </c>
    </row>
    <row r="15" spans="1:5" x14ac:dyDescent="0.25">
      <c r="A15" s="1" t="s">
        <v>57</v>
      </c>
      <c r="B15" s="1">
        <v>0</v>
      </c>
      <c r="C15" s="2">
        <v>0</v>
      </c>
      <c r="D15" s="1">
        <v>833.23786734900011</v>
      </c>
      <c r="E15" s="2">
        <v>890361.14967100008</v>
      </c>
    </row>
    <row r="16" spans="1:5" x14ac:dyDescent="0.25">
      <c r="A16" s="1" t="s">
        <v>68</v>
      </c>
      <c r="B16" s="1">
        <v>109.83</v>
      </c>
      <c r="C16" s="2">
        <v>160419.5</v>
      </c>
      <c r="D16" s="1">
        <v>0</v>
      </c>
      <c r="E16" s="2">
        <v>0</v>
      </c>
    </row>
    <row r="17" spans="1:5" x14ac:dyDescent="0.25">
      <c r="A17" s="1" t="s">
        <v>71</v>
      </c>
      <c r="B17" s="1">
        <v>11.93</v>
      </c>
      <c r="C17" s="2">
        <v>18324.5</v>
      </c>
      <c r="D17" s="1">
        <v>0</v>
      </c>
      <c r="E17" s="2">
        <v>0</v>
      </c>
    </row>
    <row r="18" spans="1:5" x14ac:dyDescent="0.25">
      <c r="A18" s="1" t="s">
        <v>78</v>
      </c>
      <c r="B18" s="1">
        <v>0</v>
      </c>
      <c r="C18" s="2">
        <v>0</v>
      </c>
      <c r="D18" s="1">
        <v>10.093091579999999</v>
      </c>
      <c r="E18" s="2">
        <v>9400</v>
      </c>
    </row>
    <row r="19" spans="1:5" x14ac:dyDescent="0.25">
      <c r="A19" s="1" t="s">
        <v>89</v>
      </c>
      <c r="B19" s="1">
        <v>6.8578853889999998</v>
      </c>
      <c r="C19" s="2">
        <v>13496.5</v>
      </c>
      <c r="D19" s="1">
        <v>0</v>
      </c>
      <c r="E19" s="2">
        <v>0</v>
      </c>
    </row>
    <row r="20" spans="1:5" x14ac:dyDescent="0.25">
      <c r="A20" s="1" t="s">
        <v>90</v>
      </c>
      <c r="B20" s="1">
        <v>2.189137E-2</v>
      </c>
      <c r="C20" s="2">
        <v>0</v>
      </c>
      <c r="D20" s="1">
        <v>0</v>
      </c>
      <c r="E20" s="2">
        <v>0</v>
      </c>
    </row>
    <row r="21" spans="1:5" x14ac:dyDescent="0.25">
      <c r="A21" s="1" t="s">
        <v>91</v>
      </c>
      <c r="B21" s="1">
        <v>2.787859917</v>
      </c>
      <c r="C21" s="2">
        <v>3209.5</v>
      </c>
      <c r="D21" s="1">
        <v>0</v>
      </c>
      <c r="E21" s="2">
        <v>0</v>
      </c>
    </row>
    <row r="22" spans="1:5" x14ac:dyDescent="0.25">
      <c r="A22" s="1" t="s">
        <v>92</v>
      </c>
      <c r="B22" s="1">
        <v>0</v>
      </c>
      <c r="C22" s="2">
        <v>0</v>
      </c>
      <c r="D22" s="1">
        <v>21.279655590000001</v>
      </c>
      <c r="E22" s="2">
        <v>20592.900000000001</v>
      </c>
    </row>
    <row r="23" spans="1:5" x14ac:dyDescent="0.25">
      <c r="A23" s="1" t="s">
        <v>95</v>
      </c>
      <c r="B23" s="1">
        <v>0</v>
      </c>
      <c r="C23" s="2">
        <v>0</v>
      </c>
      <c r="D23" s="1">
        <v>19.341995847</v>
      </c>
      <c r="E23" s="2">
        <v>20668.849999999999</v>
      </c>
    </row>
    <row r="24" spans="1:5" x14ac:dyDescent="0.25">
      <c r="A24" s="1" t="s">
        <v>100</v>
      </c>
      <c r="B24" s="1">
        <v>1455.9597824340001</v>
      </c>
      <c r="C24" s="2">
        <v>1745594.53</v>
      </c>
      <c r="D24" s="1">
        <v>477.31889986499988</v>
      </c>
      <c r="E24" s="2">
        <v>505389.15659999987</v>
      </c>
    </row>
    <row r="25" spans="1:5" x14ac:dyDescent="0.25">
      <c r="A25" s="1" t="s">
        <v>102</v>
      </c>
      <c r="B25" s="1">
        <v>0.32</v>
      </c>
      <c r="C25" s="2">
        <v>0</v>
      </c>
      <c r="D25" s="1">
        <v>0</v>
      </c>
      <c r="E25" s="2">
        <v>0</v>
      </c>
    </row>
    <row r="26" spans="1:5" x14ac:dyDescent="0.25">
      <c r="A26" s="1" t="s">
        <v>105</v>
      </c>
      <c r="B26" s="1">
        <v>0</v>
      </c>
      <c r="C26" s="2">
        <v>0</v>
      </c>
      <c r="D26" s="1">
        <v>6.9564812489999994</v>
      </c>
      <c r="E26" s="2">
        <v>6762.806700000001</v>
      </c>
    </row>
    <row r="27" spans="1:5" x14ac:dyDescent="0.25">
      <c r="A27" s="1" t="s">
        <v>113</v>
      </c>
      <c r="B27" s="1">
        <v>2383.21772057</v>
      </c>
      <c r="C27" s="2">
        <v>3064618.77</v>
      </c>
      <c r="D27" s="1">
        <v>0</v>
      </c>
      <c r="E27" s="2">
        <v>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5"/>
  <sheetViews>
    <sheetView workbookViewId="0"/>
  </sheetViews>
  <sheetFormatPr defaultRowHeight="15" x14ac:dyDescent="0.25"/>
  <cols>
    <col min="1" max="1" width="28.7109375" style="1" bestFit="1" customWidth="1"/>
    <col min="2" max="2" width="11.85546875" style="1" bestFit="1" customWidth="1"/>
    <col min="3" max="3" width="28" style="2" bestFit="1" customWidth="1"/>
    <col min="4" max="4" width="12.140625" style="1" bestFit="1" customWidth="1"/>
    <col min="5" max="5" width="25.7109375" style="2" bestFit="1" customWidth="1"/>
  </cols>
  <sheetData>
    <row r="1" spans="1:5" x14ac:dyDescent="0.25">
      <c r="A1" s="1" t="s">
        <v>0</v>
      </c>
      <c r="B1" s="1" t="s">
        <v>118</v>
      </c>
      <c r="C1" s="2" t="s">
        <v>119</v>
      </c>
      <c r="D1" s="1" t="s">
        <v>120</v>
      </c>
      <c r="E1" s="2" t="s">
        <v>121</v>
      </c>
    </row>
    <row r="2" spans="1:5" x14ac:dyDescent="0.25">
      <c r="A2" s="1" t="s">
        <v>29</v>
      </c>
      <c r="B2" s="1">
        <v>1125.58209147</v>
      </c>
      <c r="C2" s="2">
        <v>1828878.9</v>
      </c>
      <c r="D2" s="1">
        <v>0</v>
      </c>
      <c r="E2" s="2">
        <v>0</v>
      </c>
    </row>
    <row r="3" spans="1:5" x14ac:dyDescent="0.25">
      <c r="A3" s="1" t="s">
        <v>67</v>
      </c>
      <c r="B3" s="1">
        <v>7.85</v>
      </c>
      <c r="C3" s="2">
        <v>17451.95</v>
      </c>
      <c r="D3" s="1">
        <v>0</v>
      </c>
      <c r="E3" s="2">
        <v>0</v>
      </c>
    </row>
    <row r="4" spans="1:5" x14ac:dyDescent="0.25">
      <c r="A4" s="1" t="s">
        <v>69</v>
      </c>
      <c r="B4" s="1">
        <v>100.0435009</v>
      </c>
      <c r="C4" s="2">
        <v>160088.4</v>
      </c>
      <c r="D4" s="1">
        <v>0</v>
      </c>
      <c r="E4" s="2">
        <v>0</v>
      </c>
    </row>
    <row r="5" spans="1:5" x14ac:dyDescent="0.25">
      <c r="A5" s="1" t="s">
        <v>70</v>
      </c>
      <c r="B5" s="1">
        <v>87.1</v>
      </c>
      <c r="C5" s="2">
        <v>140691.04999999999</v>
      </c>
      <c r="D5" s="1">
        <v>0</v>
      </c>
      <c r="E5" s="2">
        <v>0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32"/>
  <sheetViews>
    <sheetView workbookViewId="0"/>
  </sheetViews>
  <sheetFormatPr defaultRowHeight="15" x14ac:dyDescent="0.25"/>
  <cols>
    <col min="1" max="1" width="33.28515625" style="1" bestFit="1" customWidth="1"/>
    <col min="2" max="2" width="11.85546875" style="1" bestFit="1" customWidth="1"/>
    <col min="3" max="3" width="28" style="2" bestFit="1" customWidth="1"/>
    <col min="4" max="4" width="12.140625" style="1" bestFit="1" customWidth="1"/>
    <col min="5" max="5" width="25.7109375" style="2" bestFit="1" customWidth="1"/>
  </cols>
  <sheetData>
    <row r="1" spans="1:5" x14ac:dyDescent="0.25">
      <c r="A1" s="1" t="s">
        <v>0</v>
      </c>
      <c r="B1" s="1" t="s">
        <v>118</v>
      </c>
      <c r="C1" s="2" t="s">
        <v>119</v>
      </c>
      <c r="D1" s="1" t="s">
        <v>120</v>
      </c>
      <c r="E1" s="2" t="s">
        <v>121</v>
      </c>
    </row>
    <row r="2" spans="1:5" x14ac:dyDescent="0.25">
      <c r="A2" s="1" t="s">
        <v>1</v>
      </c>
      <c r="B2" s="1">
        <v>0</v>
      </c>
      <c r="C2" s="2">
        <v>0</v>
      </c>
      <c r="D2" s="1">
        <v>95.459620319999999</v>
      </c>
      <c r="E2" s="2">
        <v>84027.62</v>
      </c>
    </row>
    <row r="3" spans="1:5" x14ac:dyDescent="0.25">
      <c r="A3" s="1" t="s">
        <v>4</v>
      </c>
      <c r="B3" s="1">
        <v>0</v>
      </c>
      <c r="C3" s="2">
        <v>0</v>
      </c>
      <c r="D3" s="1">
        <v>1.780764646</v>
      </c>
      <c r="E3" s="2">
        <v>3187.4227999999998</v>
      </c>
    </row>
    <row r="4" spans="1:5" x14ac:dyDescent="0.25">
      <c r="A4" s="1" t="s">
        <v>9</v>
      </c>
      <c r="B4" s="1">
        <v>0</v>
      </c>
      <c r="C4" s="2">
        <v>0</v>
      </c>
      <c r="D4" s="1">
        <v>69.970897269999995</v>
      </c>
      <c r="E4" s="2">
        <v>76404.22649999999</v>
      </c>
    </row>
    <row r="5" spans="1:5" x14ac:dyDescent="0.25">
      <c r="A5" s="1" t="s">
        <v>18</v>
      </c>
      <c r="B5" s="1">
        <v>202.54</v>
      </c>
      <c r="C5" s="2">
        <v>390735</v>
      </c>
      <c r="D5" s="1">
        <v>0</v>
      </c>
      <c r="E5" s="2">
        <v>0</v>
      </c>
    </row>
    <row r="6" spans="1:5" x14ac:dyDescent="0.25">
      <c r="A6" s="1" t="s">
        <v>19</v>
      </c>
      <c r="B6" s="1">
        <v>17.63</v>
      </c>
      <c r="C6" s="2">
        <v>31462</v>
      </c>
      <c r="D6" s="1">
        <v>0</v>
      </c>
      <c r="E6" s="2">
        <v>0</v>
      </c>
    </row>
    <row r="7" spans="1:5" x14ac:dyDescent="0.25">
      <c r="A7" s="1" t="s">
        <v>25</v>
      </c>
      <c r="B7" s="1">
        <v>8.86</v>
      </c>
      <c r="C7" s="2">
        <v>14134.6</v>
      </c>
      <c r="D7" s="1">
        <v>0</v>
      </c>
      <c r="E7" s="2">
        <v>0</v>
      </c>
    </row>
    <row r="8" spans="1:5" x14ac:dyDescent="0.25">
      <c r="A8" s="1" t="s">
        <v>29</v>
      </c>
      <c r="B8" s="1">
        <v>1169.1332146</v>
      </c>
      <c r="C8" s="2">
        <v>1799513.79</v>
      </c>
      <c r="D8" s="1">
        <v>0</v>
      </c>
      <c r="E8" s="2">
        <v>0</v>
      </c>
    </row>
    <row r="9" spans="1:5" x14ac:dyDescent="0.25">
      <c r="A9" s="1" t="s">
        <v>32</v>
      </c>
      <c r="B9" s="1">
        <v>0</v>
      </c>
      <c r="C9" s="2">
        <v>0</v>
      </c>
      <c r="D9" s="1">
        <v>85.056998639</v>
      </c>
      <c r="E9" s="2">
        <v>92079.762300000002</v>
      </c>
    </row>
    <row r="10" spans="1:5" x14ac:dyDescent="0.25">
      <c r="A10" s="1" t="s">
        <v>37</v>
      </c>
      <c r="B10" s="1">
        <v>82.85</v>
      </c>
      <c r="C10" s="2">
        <v>138435.5</v>
      </c>
      <c r="D10" s="1">
        <v>0</v>
      </c>
      <c r="E10" s="2">
        <v>0</v>
      </c>
    </row>
    <row r="11" spans="1:5" x14ac:dyDescent="0.25">
      <c r="A11" s="1" t="s">
        <v>39</v>
      </c>
      <c r="B11" s="1">
        <v>0</v>
      </c>
      <c r="C11" s="2">
        <v>0</v>
      </c>
      <c r="D11" s="1">
        <v>38.769091611</v>
      </c>
      <c r="E11" s="2">
        <v>34257.483999999997</v>
      </c>
    </row>
    <row r="12" spans="1:5" x14ac:dyDescent="0.25">
      <c r="A12" s="1" t="s">
        <v>40</v>
      </c>
      <c r="B12" s="1">
        <v>0</v>
      </c>
      <c r="C12" s="2">
        <v>0</v>
      </c>
      <c r="D12" s="1">
        <v>2.3254944480000002</v>
      </c>
      <c r="E12" s="2">
        <v>1793.76</v>
      </c>
    </row>
    <row r="13" spans="1:5" x14ac:dyDescent="0.25">
      <c r="A13" s="1" t="s">
        <v>42</v>
      </c>
      <c r="B13" s="1">
        <v>0</v>
      </c>
      <c r="C13" s="2">
        <v>0</v>
      </c>
      <c r="D13" s="1">
        <v>94.275340180000001</v>
      </c>
      <c r="E13" s="2">
        <v>88552.92</v>
      </c>
    </row>
    <row r="14" spans="1:5" x14ac:dyDescent="0.25">
      <c r="A14" s="1" t="s">
        <v>44</v>
      </c>
      <c r="B14" s="1">
        <v>0</v>
      </c>
      <c r="C14" s="2">
        <v>0</v>
      </c>
      <c r="D14" s="1">
        <v>122.91962170399999</v>
      </c>
      <c r="E14" s="2">
        <v>115672.247</v>
      </c>
    </row>
    <row r="15" spans="1:5" x14ac:dyDescent="0.25">
      <c r="A15" s="1" t="s">
        <v>46</v>
      </c>
      <c r="B15" s="1">
        <v>18.18</v>
      </c>
      <c r="C15" s="2">
        <v>43496</v>
      </c>
      <c r="D15" s="1">
        <v>0</v>
      </c>
      <c r="E15" s="2">
        <v>0</v>
      </c>
    </row>
    <row r="16" spans="1:5" x14ac:dyDescent="0.25">
      <c r="A16" s="1" t="s">
        <v>51</v>
      </c>
      <c r="B16" s="1">
        <v>10.130000000000001</v>
      </c>
      <c r="C16" s="2">
        <v>14510.45</v>
      </c>
      <c r="D16" s="1">
        <v>0</v>
      </c>
      <c r="E16" s="2">
        <v>0</v>
      </c>
    </row>
    <row r="17" spans="1:5" x14ac:dyDescent="0.25">
      <c r="A17" s="1" t="s">
        <v>55</v>
      </c>
      <c r="B17" s="1">
        <v>0</v>
      </c>
      <c r="C17" s="2">
        <v>0</v>
      </c>
      <c r="D17" s="1">
        <v>223.80232478799999</v>
      </c>
      <c r="E17" s="2">
        <v>512823.1923</v>
      </c>
    </row>
    <row r="18" spans="1:5" x14ac:dyDescent="0.25">
      <c r="A18" s="1" t="s">
        <v>58</v>
      </c>
      <c r="B18" s="1">
        <v>0</v>
      </c>
      <c r="C18" s="2">
        <v>0</v>
      </c>
      <c r="D18" s="1">
        <v>6.0207829610000001</v>
      </c>
      <c r="E18" s="2">
        <v>19251.54</v>
      </c>
    </row>
    <row r="19" spans="1:5" x14ac:dyDescent="0.25">
      <c r="A19" s="1" t="s">
        <v>59</v>
      </c>
      <c r="B19" s="1">
        <v>70.247521290000009</v>
      </c>
      <c r="C19" s="2">
        <v>133517.29999999999</v>
      </c>
      <c r="D19" s="1">
        <v>0</v>
      </c>
      <c r="E19" s="2">
        <v>0</v>
      </c>
    </row>
    <row r="20" spans="1:5" x14ac:dyDescent="0.25">
      <c r="A20" s="1" t="s">
        <v>60</v>
      </c>
      <c r="B20" s="1">
        <v>0</v>
      </c>
      <c r="C20" s="2">
        <v>0</v>
      </c>
      <c r="D20" s="1">
        <v>30.768072503999999</v>
      </c>
      <c r="E20" s="2">
        <v>27337.418900000001</v>
      </c>
    </row>
    <row r="21" spans="1:5" x14ac:dyDescent="0.25">
      <c r="A21" s="1" t="s">
        <v>68</v>
      </c>
      <c r="B21" s="1">
        <v>370.04907956699998</v>
      </c>
      <c r="C21" s="2">
        <v>545718.29999999993</v>
      </c>
      <c r="D21" s="1">
        <v>0</v>
      </c>
      <c r="E21" s="2">
        <v>0</v>
      </c>
    </row>
    <row r="22" spans="1:5" x14ac:dyDescent="0.25">
      <c r="A22" s="1" t="s">
        <v>69</v>
      </c>
      <c r="B22" s="1">
        <v>199.58296780000001</v>
      </c>
      <c r="C22" s="2">
        <v>301805.59999999998</v>
      </c>
      <c r="D22" s="1">
        <v>0</v>
      </c>
      <c r="E22" s="2">
        <v>0</v>
      </c>
    </row>
    <row r="23" spans="1:5" x14ac:dyDescent="0.25">
      <c r="A23" s="1" t="s">
        <v>70</v>
      </c>
      <c r="B23" s="1">
        <v>51.93</v>
      </c>
      <c r="C23" s="2">
        <v>109713.75</v>
      </c>
      <c r="D23" s="1">
        <v>0</v>
      </c>
      <c r="E23" s="2">
        <v>0</v>
      </c>
    </row>
    <row r="24" spans="1:5" x14ac:dyDescent="0.25">
      <c r="A24" s="1" t="s">
        <v>72</v>
      </c>
      <c r="B24" s="1">
        <v>0</v>
      </c>
      <c r="C24" s="2">
        <v>0</v>
      </c>
      <c r="D24" s="1">
        <v>34.294559700999997</v>
      </c>
      <c r="E24" s="2">
        <v>30483.500700000001</v>
      </c>
    </row>
    <row r="25" spans="1:5" x14ac:dyDescent="0.25">
      <c r="A25" s="1" t="s">
        <v>77</v>
      </c>
      <c r="B25" s="1">
        <v>11.75</v>
      </c>
      <c r="C25" s="2">
        <v>22306</v>
      </c>
      <c r="D25" s="1">
        <v>0</v>
      </c>
      <c r="E25" s="2">
        <v>0</v>
      </c>
    </row>
    <row r="26" spans="1:5" x14ac:dyDescent="0.25">
      <c r="A26" s="1" t="s">
        <v>90</v>
      </c>
      <c r="B26" s="1">
        <v>192.88839155700001</v>
      </c>
      <c r="C26" s="2">
        <v>279894.90000000002</v>
      </c>
      <c r="D26" s="1">
        <v>0</v>
      </c>
      <c r="E26" s="2">
        <v>0</v>
      </c>
    </row>
    <row r="27" spans="1:5" x14ac:dyDescent="0.25">
      <c r="A27" s="1" t="s">
        <v>91</v>
      </c>
      <c r="B27" s="1">
        <v>0</v>
      </c>
      <c r="C27" s="2">
        <v>0</v>
      </c>
      <c r="D27" s="1">
        <v>94.990596350999994</v>
      </c>
      <c r="E27" s="2">
        <v>82714.47</v>
      </c>
    </row>
    <row r="28" spans="1:5" x14ac:dyDescent="0.25">
      <c r="A28" s="1" t="s">
        <v>95</v>
      </c>
      <c r="B28" s="1">
        <v>0</v>
      </c>
      <c r="C28" s="2">
        <v>0</v>
      </c>
      <c r="D28" s="1">
        <v>28.097237882000002</v>
      </c>
      <c r="E28" s="2">
        <v>30518.5998</v>
      </c>
    </row>
    <row r="29" spans="1:5" x14ac:dyDescent="0.25">
      <c r="A29" s="1" t="s">
        <v>101</v>
      </c>
      <c r="B29" s="1">
        <v>0</v>
      </c>
      <c r="C29" s="2">
        <v>0</v>
      </c>
      <c r="D29" s="1">
        <v>3.180985041</v>
      </c>
      <c r="E29" s="2">
        <v>3772.6907999999999</v>
      </c>
    </row>
    <row r="30" spans="1:5" x14ac:dyDescent="0.25">
      <c r="A30" s="1" t="s">
        <v>102</v>
      </c>
      <c r="B30" s="1">
        <v>805.33162159999995</v>
      </c>
      <c r="C30" s="2">
        <v>1362890.85</v>
      </c>
      <c r="D30" s="1">
        <v>0</v>
      </c>
      <c r="E30" s="2">
        <v>0</v>
      </c>
    </row>
    <row r="31" spans="1:5" x14ac:dyDescent="0.25">
      <c r="A31" s="1" t="s">
        <v>107</v>
      </c>
      <c r="B31" s="1">
        <v>0</v>
      </c>
      <c r="C31" s="2">
        <v>0</v>
      </c>
      <c r="D31" s="1">
        <v>1.3851767850000001</v>
      </c>
      <c r="E31" s="2">
        <v>3537.5652</v>
      </c>
    </row>
    <row r="32" spans="1:5" x14ac:dyDescent="0.25">
      <c r="A32" s="1" t="s">
        <v>108</v>
      </c>
      <c r="B32" s="1">
        <v>10.93126004</v>
      </c>
      <c r="C32" s="2">
        <v>17236.650000000001</v>
      </c>
      <c r="D32" s="1">
        <v>0</v>
      </c>
      <c r="E32" s="2">
        <v>0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4"/>
  <sheetViews>
    <sheetView workbookViewId="0"/>
  </sheetViews>
  <sheetFormatPr defaultRowHeight="15" x14ac:dyDescent="0.25"/>
  <cols>
    <col min="1" max="1" width="21.140625" style="1" bestFit="1" customWidth="1"/>
    <col min="2" max="2" width="11.85546875" style="1" bestFit="1" customWidth="1"/>
    <col min="3" max="3" width="28" style="2" bestFit="1" customWidth="1"/>
    <col min="4" max="4" width="12.140625" style="1" bestFit="1" customWidth="1"/>
    <col min="5" max="5" width="25.7109375" style="2" bestFit="1" customWidth="1"/>
  </cols>
  <sheetData>
    <row r="1" spans="1:5" x14ac:dyDescent="0.25">
      <c r="A1" s="1" t="s">
        <v>0</v>
      </c>
      <c r="B1" s="1" t="s">
        <v>118</v>
      </c>
      <c r="C1" s="2" t="s">
        <v>119</v>
      </c>
      <c r="D1" s="1" t="s">
        <v>120</v>
      </c>
      <c r="E1" s="2" t="s">
        <v>121</v>
      </c>
    </row>
    <row r="2" spans="1:5" x14ac:dyDescent="0.25">
      <c r="A2" s="1" t="s">
        <v>56</v>
      </c>
      <c r="B2" s="1">
        <v>119.58</v>
      </c>
      <c r="C2" s="2">
        <v>237091.4</v>
      </c>
      <c r="D2" s="1">
        <v>0</v>
      </c>
      <c r="E2" s="2">
        <v>0</v>
      </c>
    </row>
    <row r="3" spans="1:5" x14ac:dyDescent="0.25">
      <c r="A3" s="1" t="s">
        <v>93</v>
      </c>
      <c r="B3" s="1">
        <v>21.41</v>
      </c>
      <c r="C3" s="2">
        <v>36861.550000000003</v>
      </c>
      <c r="D3" s="1">
        <v>0</v>
      </c>
      <c r="E3" s="2">
        <v>0</v>
      </c>
    </row>
    <row r="4" spans="1:5" x14ac:dyDescent="0.25">
      <c r="A4" s="1" t="s">
        <v>116</v>
      </c>
      <c r="B4" s="1">
        <v>12.36</v>
      </c>
      <c r="C4" s="2">
        <v>26195.3</v>
      </c>
      <c r="D4" s="1">
        <v>0</v>
      </c>
      <c r="E4" s="2">
        <v>0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E3"/>
  <sheetViews>
    <sheetView workbookViewId="0"/>
  </sheetViews>
  <sheetFormatPr defaultRowHeight="15" x14ac:dyDescent="0.25"/>
  <cols>
    <col min="1" max="1" width="31.85546875" style="1" bestFit="1" customWidth="1"/>
    <col min="2" max="2" width="11.85546875" style="1" bestFit="1" customWidth="1"/>
    <col min="3" max="3" width="28" style="2" bestFit="1" customWidth="1"/>
    <col min="4" max="4" width="12.140625" style="1" bestFit="1" customWidth="1"/>
    <col min="5" max="5" width="25.7109375" style="2" bestFit="1" customWidth="1"/>
  </cols>
  <sheetData>
    <row r="1" spans="1:5" x14ac:dyDescent="0.25">
      <c r="A1" s="1" t="s">
        <v>0</v>
      </c>
      <c r="B1" s="1" t="s">
        <v>118</v>
      </c>
      <c r="C1" s="2" t="s">
        <v>119</v>
      </c>
      <c r="D1" s="1" t="s">
        <v>120</v>
      </c>
      <c r="E1" s="2" t="s">
        <v>121</v>
      </c>
    </row>
    <row r="2" spans="1:5" x14ac:dyDescent="0.25">
      <c r="A2" s="1" t="s">
        <v>35</v>
      </c>
      <c r="B2" s="1">
        <v>1</v>
      </c>
      <c r="C2" s="2">
        <v>2549.85</v>
      </c>
      <c r="D2" s="1">
        <v>0</v>
      </c>
      <c r="E2" s="2">
        <v>0</v>
      </c>
    </row>
    <row r="3" spans="1:5" x14ac:dyDescent="0.25">
      <c r="A3" s="1" t="s">
        <v>57</v>
      </c>
      <c r="B3" s="1">
        <v>0</v>
      </c>
      <c r="C3" s="2">
        <v>0</v>
      </c>
      <c r="D3" s="1">
        <v>49.155347460000002</v>
      </c>
      <c r="E3" s="2">
        <v>57330.125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E2"/>
  <sheetViews>
    <sheetView workbookViewId="0"/>
  </sheetViews>
  <sheetFormatPr defaultRowHeight="15" x14ac:dyDescent="0.25"/>
  <cols>
    <col min="1" max="2" width="11.85546875" style="1" bestFit="1" customWidth="1"/>
    <col min="3" max="3" width="28" style="2" bestFit="1" customWidth="1"/>
    <col min="4" max="4" width="12.140625" style="1" bestFit="1" customWidth="1"/>
    <col min="5" max="5" width="25.7109375" style="2" bestFit="1" customWidth="1"/>
  </cols>
  <sheetData>
    <row r="1" spans="1:5" x14ac:dyDescent="0.25">
      <c r="A1" s="1" t="s">
        <v>0</v>
      </c>
      <c r="B1" s="1" t="s">
        <v>118</v>
      </c>
      <c r="C1" s="2" t="s">
        <v>119</v>
      </c>
      <c r="D1" s="1" t="s">
        <v>120</v>
      </c>
      <c r="E1" s="2" t="s">
        <v>121</v>
      </c>
    </row>
    <row r="2" spans="1:5" x14ac:dyDescent="0.25">
      <c r="A2" s="1" t="s">
        <v>41</v>
      </c>
      <c r="B2" s="1">
        <v>0.36925071500000001</v>
      </c>
      <c r="C2" s="2">
        <v>0</v>
      </c>
      <c r="D2" s="1">
        <v>0</v>
      </c>
      <c r="E2" s="2">
        <v>0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E2"/>
  <sheetViews>
    <sheetView workbookViewId="0"/>
  </sheetViews>
  <sheetFormatPr defaultRowHeight="15" x14ac:dyDescent="0.25"/>
  <cols>
    <col min="1" max="1" width="24.140625" style="1" bestFit="1" customWidth="1"/>
    <col min="2" max="2" width="11.85546875" style="1" bestFit="1" customWidth="1"/>
    <col min="3" max="3" width="28" style="2" bestFit="1" customWidth="1"/>
    <col min="4" max="4" width="12.140625" style="1" bestFit="1" customWidth="1"/>
    <col min="5" max="5" width="25.7109375" style="2" bestFit="1" customWidth="1"/>
  </cols>
  <sheetData>
    <row r="1" spans="1:5" x14ac:dyDescent="0.25">
      <c r="A1" s="1" t="s">
        <v>0</v>
      </c>
      <c r="B1" s="1" t="s">
        <v>118</v>
      </c>
      <c r="C1" s="2" t="s">
        <v>119</v>
      </c>
      <c r="D1" s="1" t="s">
        <v>120</v>
      </c>
      <c r="E1" s="2" t="s">
        <v>121</v>
      </c>
    </row>
    <row r="2" spans="1:5" x14ac:dyDescent="0.25">
      <c r="A2" s="1" t="s">
        <v>5</v>
      </c>
      <c r="B2" s="1">
        <v>93.62</v>
      </c>
      <c r="C2" s="2">
        <v>157054</v>
      </c>
      <c r="D2" s="1">
        <v>0</v>
      </c>
      <c r="E2" s="2">
        <v>0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E4"/>
  <sheetViews>
    <sheetView workbookViewId="0"/>
  </sheetViews>
  <sheetFormatPr defaultRowHeight="15" x14ac:dyDescent="0.25"/>
  <cols>
    <col min="1" max="1" width="26.7109375" style="1" bestFit="1" customWidth="1"/>
    <col min="2" max="2" width="11.85546875" style="1" bestFit="1" customWidth="1"/>
    <col min="3" max="3" width="28" style="2" bestFit="1" customWidth="1"/>
    <col min="4" max="4" width="12.140625" style="1" bestFit="1" customWidth="1"/>
    <col min="5" max="5" width="25.7109375" style="2" bestFit="1" customWidth="1"/>
  </cols>
  <sheetData>
    <row r="1" spans="1:5" x14ac:dyDescent="0.25">
      <c r="A1" s="1" t="s">
        <v>0</v>
      </c>
      <c r="B1" s="1" t="s">
        <v>118</v>
      </c>
      <c r="C1" s="2" t="s">
        <v>119</v>
      </c>
      <c r="D1" s="1" t="s">
        <v>120</v>
      </c>
      <c r="E1" s="2" t="s">
        <v>121</v>
      </c>
    </row>
    <row r="2" spans="1:5" x14ac:dyDescent="0.25">
      <c r="A2" s="1" t="s">
        <v>22</v>
      </c>
      <c r="B2" s="1">
        <v>98.900866003000004</v>
      </c>
      <c r="C2" s="2">
        <v>142398.57</v>
      </c>
      <c r="D2" s="1">
        <v>0</v>
      </c>
      <c r="E2" s="2">
        <v>0</v>
      </c>
    </row>
    <row r="3" spans="1:5" x14ac:dyDescent="0.25">
      <c r="A3" s="1" t="s">
        <v>63</v>
      </c>
      <c r="B3" s="1">
        <v>461.63094419999999</v>
      </c>
      <c r="C3" s="2">
        <v>667865.59999999998</v>
      </c>
      <c r="D3" s="1">
        <v>0</v>
      </c>
      <c r="E3" s="2">
        <v>0</v>
      </c>
    </row>
    <row r="4" spans="1:5" x14ac:dyDescent="0.25">
      <c r="A4" s="1" t="s">
        <v>104</v>
      </c>
      <c r="B4" s="1">
        <v>110.7930338</v>
      </c>
      <c r="C4" s="2">
        <v>158762.1</v>
      </c>
      <c r="D4" s="1">
        <v>0</v>
      </c>
      <c r="E4" s="2">
        <v>0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E4"/>
  <sheetViews>
    <sheetView workbookViewId="0"/>
  </sheetViews>
  <sheetFormatPr defaultRowHeight="15" x14ac:dyDescent="0.25"/>
  <cols>
    <col min="1" max="1" width="18.5703125" style="1" bestFit="1" customWidth="1"/>
    <col min="2" max="2" width="11.85546875" style="1" bestFit="1" customWidth="1"/>
    <col min="3" max="3" width="28" style="2" bestFit="1" customWidth="1"/>
    <col min="4" max="4" width="12.140625" style="1" bestFit="1" customWidth="1"/>
    <col min="5" max="5" width="25.7109375" style="2" bestFit="1" customWidth="1"/>
  </cols>
  <sheetData>
    <row r="1" spans="1:5" x14ac:dyDescent="0.25">
      <c r="A1" s="1" t="s">
        <v>0</v>
      </c>
      <c r="B1" s="1" t="s">
        <v>118</v>
      </c>
      <c r="C1" s="2" t="s">
        <v>119</v>
      </c>
      <c r="D1" s="1" t="s">
        <v>120</v>
      </c>
      <c r="E1" s="2" t="s">
        <v>121</v>
      </c>
    </row>
    <row r="2" spans="1:5" x14ac:dyDescent="0.25">
      <c r="A2" s="1" t="s">
        <v>8</v>
      </c>
      <c r="B2" s="1">
        <v>85.32</v>
      </c>
      <c r="C2" s="2">
        <v>118705</v>
      </c>
      <c r="D2" s="1">
        <v>0</v>
      </c>
      <c r="E2" s="2">
        <v>0</v>
      </c>
    </row>
    <row r="3" spans="1:5" x14ac:dyDescent="0.25">
      <c r="A3" s="1" t="s">
        <v>85</v>
      </c>
      <c r="B3" s="1">
        <v>55.941524800000003</v>
      </c>
      <c r="C3" s="2">
        <v>89823.5</v>
      </c>
      <c r="D3" s="1">
        <v>42.882955209999999</v>
      </c>
      <c r="E3" s="2">
        <v>37666.641300000003</v>
      </c>
    </row>
    <row r="4" spans="1:5" x14ac:dyDescent="0.25">
      <c r="A4" s="1" t="s">
        <v>99</v>
      </c>
      <c r="B4" s="1">
        <v>13.41</v>
      </c>
      <c r="C4" s="2">
        <v>17349</v>
      </c>
      <c r="D4" s="1">
        <v>0</v>
      </c>
      <c r="E4" s="2">
        <v>0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E2"/>
  <sheetViews>
    <sheetView workbookViewId="0"/>
  </sheetViews>
  <sheetFormatPr defaultRowHeight="15" x14ac:dyDescent="0.25"/>
  <cols>
    <col min="1" max="1" width="22.7109375" style="1" bestFit="1" customWidth="1"/>
    <col min="2" max="2" width="11.85546875" style="1" bestFit="1" customWidth="1"/>
    <col min="3" max="3" width="28" style="2" bestFit="1" customWidth="1"/>
    <col min="4" max="4" width="12.140625" style="1" bestFit="1" customWidth="1"/>
    <col min="5" max="5" width="25.7109375" style="2" bestFit="1" customWidth="1"/>
  </cols>
  <sheetData>
    <row r="1" spans="1:5" x14ac:dyDescent="0.25">
      <c r="A1" s="1" t="s">
        <v>0</v>
      </c>
      <c r="B1" s="1" t="s">
        <v>118</v>
      </c>
      <c r="C1" s="2" t="s">
        <v>119</v>
      </c>
      <c r="D1" s="1" t="s">
        <v>120</v>
      </c>
      <c r="E1" s="2" t="s">
        <v>121</v>
      </c>
    </row>
    <row r="2" spans="1:5" x14ac:dyDescent="0.25">
      <c r="A2" s="1" t="s">
        <v>52</v>
      </c>
      <c r="B2" s="1">
        <v>58.97</v>
      </c>
      <c r="C2" s="2">
        <v>78405.8</v>
      </c>
      <c r="D2" s="1">
        <v>0</v>
      </c>
      <c r="E2" s="2">
        <v>0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E2"/>
  <sheetViews>
    <sheetView workbookViewId="0"/>
  </sheetViews>
  <sheetFormatPr defaultRowHeight="15" x14ac:dyDescent="0.25"/>
  <cols>
    <col min="1" max="1" width="16.7109375" style="1" bestFit="1" customWidth="1"/>
    <col min="2" max="2" width="11.85546875" style="1" bestFit="1" customWidth="1"/>
    <col min="3" max="3" width="28" style="2" bestFit="1" customWidth="1"/>
    <col min="4" max="4" width="12.140625" style="1" bestFit="1" customWidth="1"/>
    <col min="5" max="5" width="25.7109375" style="2" bestFit="1" customWidth="1"/>
  </cols>
  <sheetData>
    <row r="1" spans="1:5" x14ac:dyDescent="0.25">
      <c r="A1" s="1" t="s">
        <v>0</v>
      </c>
      <c r="B1" s="1" t="s">
        <v>118</v>
      </c>
      <c r="C1" s="2" t="s">
        <v>119</v>
      </c>
      <c r="D1" s="1" t="s">
        <v>120</v>
      </c>
      <c r="E1" s="2" t="s">
        <v>121</v>
      </c>
    </row>
    <row r="2" spans="1:5" x14ac:dyDescent="0.25">
      <c r="A2" s="1" t="s">
        <v>88</v>
      </c>
      <c r="B2" s="1">
        <v>0</v>
      </c>
      <c r="C2" s="2">
        <v>7200</v>
      </c>
      <c r="D2" s="1">
        <v>0</v>
      </c>
      <c r="E2" s="2">
        <v>0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E2"/>
  <sheetViews>
    <sheetView workbookViewId="0"/>
  </sheetViews>
  <sheetFormatPr defaultRowHeight="15" x14ac:dyDescent="0.25"/>
  <cols>
    <col min="1" max="1" width="19.5703125" style="1" bestFit="1" customWidth="1"/>
    <col min="2" max="2" width="11.85546875" style="1" bestFit="1" customWidth="1"/>
    <col min="3" max="3" width="28" style="2" bestFit="1" customWidth="1"/>
    <col min="4" max="4" width="12.140625" style="1" bestFit="1" customWidth="1"/>
    <col min="5" max="5" width="25.7109375" style="2" bestFit="1" customWidth="1"/>
  </cols>
  <sheetData>
    <row r="1" spans="1:5" x14ac:dyDescent="0.25">
      <c r="A1" s="1" t="s">
        <v>0</v>
      </c>
      <c r="B1" s="1" t="s">
        <v>118</v>
      </c>
      <c r="C1" s="2" t="s">
        <v>119</v>
      </c>
      <c r="D1" s="1" t="s">
        <v>120</v>
      </c>
      <c r="E1" s="2" t="s">
        <v>121</v>
      </c>
    </row>
    <row r="2" spans="1:5" x14ac:dyDescent="0.25">
      <c r="A2" s="1" t="s">
        <v>47</v>
      </c>
      <c r="B2" s="1">
        <v>18.93</v>
      </c>
      <c r="C2" s="2">
        <v>48628.5</v>
      </c>
      <c r="D2" s="1">
        <v>0</v>
      </c>
      <c r="E2" s="2">
        <v>0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E3"/>
  <sheetViews>
    <sheetView workbookViewId="0"/>
  </sheetViews>
  <sheetFormatPr defaultRowHeight="15" x14ac:dyDescent="0.25"/>
  <cols>
    <col min="1" max="1" width="20.5703125" style="1" bestFit="1" customWidth="1"/>
    <col min="2" max="2" width="11.85546875" style="1" bestFit="1" customWidth="1"/>
    <col min="3" max="3" width="28" style="2" bestFit="1" customWidth="1"/>
    <col min="4" max="4" width="12.140625" style="1" bestFit="1" customWidth="1"/>
    <col min="5" max="5" width="25.7109375" style="2" bestFit="1" customWidth="1"/>
  </cols>
  <sheetData>
    <row r="1" spans="1:5" x14ac:dyDescent="0.25">
      <c r="A1" s="1" t="s">
        <v>0</v>
      </c>
      <c r="B1" s="1" t="s">
        <v>118</v>
      </c>
      <c r="C1" s="2" t="s">
        <v>119</v>
      </c>
      <c r="D1" s="1" t="s">
        <v>120</v>
      </c>
      <c r="E1" s="2" t="s">
        <v>121</v>
      </c>
    </row>
    <row r="2" spans="1:5" x14ac:dyDescent="0.25">
      <c r="A2" s="1" t="s">
        <v>57</v>
      </c>
      <c r="B2" s="1">
        <v>0</v>
      </c>
      <c r="C2" s="2">
        <v>0</v>
      </c>
      <c r="D2" s="1">
        <v>168.54818968800001</v>
      </c>
      <c r="E2" s="2">
        <v>188810.4045</v>
      </c>
    </row>
    <row r="3" spans="1:5" x14ac:dyDescent="0.25">
      <c r="A3" s="1" t="s">
        <v>115</v>
      </c>
      <c r="B3" s="1">
        <v>35.441170810000003</v>
      </c>
      <c r="C3" s="2">
        <v>50513.5</v>
      </c>
      <c r="D3" s="1">
        <v>0</v>
      </c>
      <c r="E3" s="2">
        <v>0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E7"/>
  <sheetViews>
    <sheetView workbookViewId="0"/>
  </sheetViews>
  <sheetFormatPr defaultRowHeight="15" x14ac:dyDescent="0.25"/>
  <cols>
    <col min="1" max="1" width="31.140625" style="1" bestFit="1" customWidth="1"/>
    <col min="2" max="2" width="11.85546875" style="1" bestFit="1" customWidth="1"/>
    <col min="3" max="3" width="28" style="2" bestFit="1" customWidth="1"/>
    <col min="4" max="4" width="12.140625" style="1" bestFit="1" customWidth="1"/>
    <col min="5" max="5" width="25.7109375" style="2" bestFit="1" customWidth="1"/>
  </cols>
  <sheetData>
    <row r="1" spans="1:5" x14ac:dyDescent="0.25">
      <c r="A1" s="1" t="s">
        <v>0</v>
      </c>
      <c r="B1" s="1" t="s">
        <v>118</v>
      </c>
      <c r="C1" s="2" t="s">
        <v>119</v>
      </c>
      <c r="D1" s="1" t="s">
        <v>120</v>
      </c>
      <c r="E1" s="2" t="s">
        <v>121</v>
      </c>
    </row>
    <row r="2" spans="1:5" x14ac:dyDescent="0.25">
      <c r="A2" s="1" t="s">
        <v>14</v>
      </c>
      <c r="B2" s="1">
        <v>730.46154320000005</v>
      </c>
      <c r="C2" s="2">
        <v>1063434.3500000001</v>
      </c>
      <c r="D2" s="1">
        <v>0</v>
      </c>
      <c r="E2" s="2">
        <v>0</v>
      </c>
    </row>
    <row r="3" spans="1:5" x14ac:dyDescent="0.25">
      <c r="A3" s="1" t="s">
        <v>16</v>
      </c>
      <c r="B3" s="1">
        <v>110.06</v>
      </c>
      <c r="C3" s="2">
        <v>176107.98</v>
      </c>
      <c r="D3" s="1">
        <v>6.7613379550000001</v>
      </c>
      <c r="E3" s="2">
        <v>7361.152</v>
      </c>
    </row>
    <row r="4" spans="1:5" x14ac:dyDescent="0.25">
      <c r="A4" s="1" t="s">
        <v>17</v>
      </c>
      <c r="B4" s="1">
        <v>0</v>
      </c>
      <c r="C4" s="2">
        <v>0</v>
      </c>
      <c r="D4" s="1">
        <v>3.606983279</v>
      </c>
      <c r="E4" s="2">
        <v>6007.6016</v>
      </c>
    </row>
    <row r="5" spans="1:5" x14ac:dyDescent="0.25">
      <c r="A5" s="1" t="s">
        <v>33</v>
      </c>
      <c r="B5" s="1">
        <v>63.576160256999998</v>
      </c>
      <c r="C5" s="2">
        <v>100153.81</v>
      </c>
      <c r="D5" s="1">
        <v>0</v>
      </c>
      <c r="E5" s="2">
        <v>0</v>
      </c>
    </row>
    <row r="6" spans="1:5" x14ac:dyDescent="0.25">
      <c r="A6" s="1" t="s">
        <v>38</v>
      </c>
      <c r="B6" s="1">
        <v>4.3899999999999997</v>
      </c>
      <c r="C6" s="2">
        <v>7830.5</v>
      </c>
      <c r="D6" s="1">
        <v>0</v>
      </c>
      <c r="E6" s="2">
        <v>0</v>
      </c>
    </row>
    <row r="7" spans="1:5" x14ac:dyDescent="0.25">
      <c r="A7" s="1" t="s">
        <v>106</v>
      </c>
      <c r="B7" s="1">
        <v>1.8146420190000001</v>
      </c>
      <c r="C7" s="2">
        <v>3937.7</v>
      </c>
      <c r="D7" s="1">
        <v>0</v>
      </c>
      <c r="E7" s="2">
        <v>0</v>
      </c>
    </row>
  </sheetData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E8"/>
  <sheetViews>
    <sheetView workbookViewId="0"/>
  </sheetViews>
  <sheetFormatPr defaultRowHeight="15" x14ac:dyDescent="0.25"/>
  <cols>
    <col min="1" max="1" width="30" style="1" bestFit="1" customWidth="1"/>
    <col min="2" max="2" width="11.85546875" style="1" bestFit="1" customWidth="1"/>
    <col min="3" max="3" width="28" style="2" bestFit="1" customWidth="1"/>
    <col min="4" max="4" width="12.140625" style="1" bestFit="1" customWidth="1"/>
    <col min="5" max="5" width="25.7109375" style="2" bestFit="1" customWidth="1"/>
  </cols>
  <sheetData>
    <row r="1" spans="1:5" x14ac:dyDescent="0.25">
      <c r="A1" s="1" t="s">
        <v>0</v>
      </c>
      <c r="B1" s="1" t="s">
        <v>118</v>
      </c>
      <c r="C1" s="2" t="s">
        <v>119</v>
      </c>
      <c r="D1" s="1" t="s">
        <v>120</v>
      </c>
      <c r="E1" s="2" t="s">
        <v>121</v>
      </c>
    </row>
    <row r="2" spans="1:5" x14ac:dyDescent="0.25">
      <c r="A2" s="1" t="s">
        <v>10</v>
      </c>
      <c r="B2" s="1">
        <v>1.85</v>
      </c>
      <c r="C2" s="2">
        <v>3759</v>
      </c>
      <c r="D2" s="1">
        <v>0</v>
      </c>
      <c r="E2" s="2">
        <v>0</v>
      </c>
    </row>
    <row r="3" spans="1:5" x14ac:dyDescent="0.25">
      <c r="A3" s="1" t="s">
        <v>12</v>
      </c>
      <c r="B3" s="1">
        <v>95.51</v>
      </c>
      <c r="C3" s="2">
        <v>137783.85999999999</v>
      </c>
      <c r="D3" s="1">
        <v>0</v>
      </c>
      <c r="E3" s="2">
        <v>0</v>
      </c>
    </row>
    <row r="4" spans="1:5" x14ac:dyDescent="0.25">
      <c r="A4" s="1" t="s">
        <v>21</v>
      </c>
      <c r="B4" s="1">
        <v>81.25</v>
      </c>
      <c r="C4" s="2">
        <v>132929.5</v>
      </c>
      <c r="D4" s="1">
        <v>0</v>
      </c>
      <c r="E4" s="2">
        <v>0</v>
      </c>
    </row>
    <row r="5" spans="1:5" x14ac:dyDescent="0.25">
      <c r="A5" s="1" t="s">
        <v>33</v>
      </c>
      <c r="B5" s="1">
        <v>3.78</v>
      </c>
      <c r="C5" s="2">
        <v>7595.75</v>
      </c>
      <c r="D5" s="1">
        <v>0</v>
      </c>
      <c r="E5" s="2">
        <v>0</v>
      </c>
    </row>
    <row r="6" spans="1:5" x14ac:dyDescent="0.25">
      <c r="A6" s="1" t="s">
        <v>53</v>
      </c>
      <c r="B6" s="1">
        <v>28.566909566</v>
      </c>
      <c r="C6" s="2">
        <v>56005.100000000013</v>
      </c>
      <c r="D6" s="1">
        <v>5.6888687219999996</v>
      </c>
      <c r="E6" s="2">
        <v>8155.2569000000003</v>
      </c>
    </row>
    <row r="7" spans="1:5" x14ac:dyDescent="0.25">
      <c r="A7" s="1" t="s">
        <v>84</v>
      </c>
      <c r="B7" s="1">
        <v>2.63</v>
      </c>
      <c r="C7" s="2">
        <v>5801.25</v>
      </c>
      <c r="D7" s="1">
        <v>0</v>
      </c>
      <c r="E7" s="2">
        <v>0</v>
      </c>
    </row>
    <row r="8" spans="1:5" x14ac:dyDescent="0.25">
      <c r="A8" s="1" t="s">
        <v>111</v>
      </c>
      <c r="B8" s="1">
        <v>77.5</v>
      </c>
      <c r="C8" s="2">
        <v>117180.72</v>
      </c>
      <c r="D8" s="1">
        <v>0</v>
      </c>
      <c r="E8" s="2">
        <v>0</v>
      </c>
    </row>
  </sheetData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E2"/>
  <sheetViews>
    <sheetView workbookViewId="0"/>
  </sheetViews>
  <sheetFormatPr defaultRowHeight="15" x14ac:dyDescent="0.25"/>
  <cols>
    <col min="1" max="1" width="33.28515625" style="1" bestFit="1" customWidth="1"/>
    <col min="2" max="2" width="11.85546875" style="1" bestFit="1" customWidth="1"/>
    <col min="3" max="3" width="28" style="2" bestFit="1" customWidth="1"/>
    <col min="4" max="4" width="12.140625" style="1" bestFit="1" customWidth="1"/>
    <col min="5" max="5" width="25.7109375" style="2" bestFit="1" customWidth="1"/>
  </cols>
  <sheetData>
    <row r="1" spans="1:5" x14ac:dyDescent="0.25">
      <c r="A1" s="1" t="s">
        <v>0</v>
      </c>
      <c r="B1" s="1" t="s">
        <v>118</v>
      </c>
      <c r="C1" s="2" t="s">
        <v>119</v>
      </c>
      <c r="D1" s="1" t="s">
        <v>120</v>
      </c>
      <c r="E1" s="2" t="s">
        <v>121</v>
      </c>
    </row>
    <row r="2" spans="1:5" x14ac:dyDescent="0.25">
      <c r="A2" s="1" t="s">
        <v>3</v>
      </c>
      <c r="B2" s="1">
        <v>38.042257999999997</v>
      </c>
      <c r="C2" s="2">
        <v>44443.7</v>
      </c>
      <c r="D2" s="1">
        <v>0</v>
      </c>
      <c r="E2" s="2">
        <v>0</v>
      </c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E2"/>
  <sheetViews>
    <sheetView workbookViewId="0"/>
  </sheetViews>
  <sheetFormatPr defaultRowHeight="15" x14ac:dyDescent="0.25"/>
  <cols>
    <col min="1" max="1" width="21.5703125" style="1" bestFit="1" customWidth="1"/>
    <col min="2" max="2" width="11.85546875" style="1" bestFit="1" customWidth="1"/>
    <col min="3" max="3" width="28" style="2" bestFit="1" customWidth="1"/>
    <col min="4" max="4" width="12.140625" style="1" bestFit="1" customWidth="1"/>
    <col min="5" max="5" width="25.7109375" style="2" bestFit="1" customWidth="1"/>
  </cols>
  <sheetData>
    <row r="1" spans="1:5" x14ac:dyDescent="0.25">
      <c r="A1" s="1" t="s">
        <v>0</v>
      </c>
      <c r="B1" s="1" t="s">
        <v>118</v>
      </c>
      <c r="C1" s="2" t="s">
        <v>119</v>
      </c>
      <c r="D1" s="1" t="s">
        <v>120</v>
      </c>
      <c r="E1" s="2" t="s">
        <v>121</v>
      </c>
    </row>
    <row r="2" spans="1:5" x14ac:dyDescent="0.25">
      <c r="A2" s="1" t="s">
        <v>55</v>
      </c>
      <c r="B2" s="1">
        <v>0</v>
      </c>
      <c r="C2" s="2">
        <v>0</v>
      </c>
      <c r="D2" s="1">
        <v>16.586040069999999</v>
      </c>
      <c r="E2" s="2">
        <v>36927.336600000002</v>
      </c>
    </row>
  </sheetData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E2"/>
  <sheetViews>
    <sheetView workbookViewId="0"/>
  </sheetViews>
  <sheetFormatPr defaultRowHeight="15" x14ac:dyDescent="0.25"/>
  <cols>
    <col min="1" max="1" width="20.28515625" style="1" bestFit="1" customWidth="1"/>
    <col min="2" max="2" width="11.85546875" style="1" bestFit="1" customWidth="1"/>
    <col min="3" max="3" width="28" style="2" bestFit="1" customWidth="1"/>
    <col min="4" max="4" width="12.140625" style="1" bestFit="1" customWidth="1"/>
    <col min="5" max="5" width="25.7109375" style="2" bestFit="1" customWidth="1"/>
  </cols>
  <sheetData>
    <row r="1" spans="1:5" x14ac:dyDescent="0.25">
      <c r="A1" s="1" t="s">
        <v>0</v>
      </c>
      <c r="B1" s="1" t="s">
        <v>118</v>
      </c>
      <c r="C1" s="2" t="s">
        <v>119</v>
      </c>
      <c r="D1" s="1" t="s">
        <v>120</v>
      </c>
      <c r="E1" s="2" t="s">
        <v>121</v>
      </c>
    </row>
    <row r="2" spans="1:5" x14ac:dyDescent="0.25">
      <c r="A2" s="1" t="s">
        <v>57</v>
      </c>
      <c r="B2" s="1">
        <v>0</v>
      </c>
      <c r="C2" s="2">
        <v>0</v>
      </c>
      <c r="D2" s="1">
        <v>117.18198648800001</v>
      </c>
      <c r="E2" s="2">
        <v>115572.8964</v>
      </c>
    </row>
  </sheetData>
  <pageMargins left="0.7" right="0.7" top="0.75" bottom="0.75" header="0.3" footer="0.3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E3"/>
  <sheetViews>
    <sheetView workbookViewId="0"/>
  </sheetViews>
  <sheetFormatPr defaultRowHeight="15" x14ac:dyDescent="0.25"/>
  <cols>
    <col min="1" max="1" width="23.42578125" style="1" bestFit="1" customWidth="1"/>
    <col min="2" max="2" width="11.85546875" style="1" bestFit="1" customWidth="1"/>
    <col min="3" max="3" width="28" style="2" bestFit="1" customWidth="1"/>
    <col min="4" max="4" width="12.140625" style="1" bestFit="1" customWidth="1"/>
    <col min="5" max="5" width="25.7109375" style="2" bestFit="1" customWidth="1"/>
  </cols>
  <sheetData>
    <row r="1" spans="1:5" x14ac:dyDescent="0.25">
      <c r="A1" s="1" t="s">
        <v>0</v>
      </c>
      <c r="B1" s="1" t="s">
        <v>118</v>
      </c>
      <c r="C1" s="2" t="s">
        <v>119</v>
      </c>
      <c r="D1" s="1" t="s">
        <v>120</v>
      </c>
      <c r="E1" s="2" t="s">
        <v>121</v>
      </c>
    </row>
    <row r="2" spans="1:5" x14ac:dyDescent="0.25">
      <c r="A2" s="1" t="s">
        <v>30</v>
      </c>
      <c r="B2" s="1">
        <v>0</v>
      </c>
      <c r="C2" s="2">
        <v>0</v>
      </c>
      <c r="D2" s="1">
        <v>3.195829056</v>
      </c>
      <c r="E2" s="2">
        <v>8672.3700000000008</v>
      </c>
    </row>
    <row r="3" spans="1:5" x14ac:dyDescent="0.25">
      <c r="A3" s="1" t="s">
        <v>75</v>
      </c>
      <c r="B3" s="1">
        <v>0</v>
      </c>
      <c r="C3" s="2">
        <v>0</v>
      </c>
      <c r="D3" s="1">
        <v>6.6941925449999999</v>
      </c>
      <c r="E3" s="2">
        <v>9347.3876999999993</v>
      </c>
    </row>
  </sheetData>
  <pageMargins left="0.7" right="0.7" top="0.75" bottom="0.75" header="0.3" footer="0.3"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E2"/>
  <sheetViews>
    <sheetView workbookViewId="0"/>
  </sheetViews>
  <sheetFormatPr defaultRowHeight="15" x14ac:dyDescent="0.25"/>
  <cols>
    <col min="1" max="1" width="20.28515625" style="1" bestFit="1" customWidth="1"/>
    <col min="2" max="2" width="11.85546875" style="1" bestFit="1" customWidth="1"/>
    <col min="3" max="3" width="28" style="2" bestFit="1" customWidth="1"/>
    <col min="4" max="4" width="12.140625" style="1" bestFit="1" customWidth="1"/>
    <col min="5" max="5" width="25.7109375" style="2" bestFit="1" customWidth="1"/>
  </cols>
  <sheetData>
    <row r="1" spans="1:5" x14ac:dyDescent="0.25">
      <c r="A1" s="1" t="s">
        <v>0</v>
      </c>
      <c r="B1" s="1" t="s">
        <v>118</v>
      </c>
      <c r="C1" s="2" t="s">
        <v>119</v>
      </c>
      <c r="D1" s="1" t="s">
        <v>120</v>
      </c>
      <c r="E1" s="2" t="s">
        <v>121</v>
      </c>
    </row>
    <row r="2" spans="1:5" x14ac:dyDescent="0.25">
      <c r="A2" s="1" t="s">
        <v>57</v>
      </c>
      <c r="B2" s="1">
        <v>0</v>
      </c>
      <c r="C2" s="2">
        <v>0</v>
      </c>
      <c r="D2" s="1">
        <v>241.45682550000001</v>
      </c>
      <c r="E2" s="2">
        <v>263121.85350000003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28</vt:i4>
      </vt:variant>
    </vt:vector>
  </HeadingPairs>
  <TitlesOfParts>
    <vt:vector size="28" baseType="lpstr">
      <vt:lpstr>ALL</vt:lpstr>
      <vt:lpstr>Bob Stearns</vt:lpstr>
      <vt:lpstr>Chris Cline</vt:lpstr>
      <vt:lpstr>John Degidio</vt:lpstr>
      <vt:lpstr>Johnny Martinez</vt:lpstr>
      <vt:lpstr>Martha Leon</vt:lpstr>
      <vt:lpstr>Mike Powell </vt:lpstr>
      <vt:lpstr>Ed Tyk</vt:lpstr>
      <vt:lpstr>BLANK</vt:lpstr>
      <vt:lpstr>Tony King</vt:lpstr>
      <vt:lpstr>Inside</vt:lpstr>
      <vt:lpstr>Dan Mahlan</vt:lpstr>
      <vt:lpstr>Bill Fiedeldey</vt:lpstr>
      <vt:lpstr>Damon Hunter</vt:lpstr>
      <vt:lpstr>Thomas Beebe</vt:lpstr>
      <vt:lpstr>Chris Varner</vt:lpstr>
      <vt:lpstr>Dale Hansen</vt:lpstr>
      <vt:lpstr>Tom Garcia</vt:lpstr>
      <vt:lpstr>Chris Reeves</vt:lpstr>
      <vt:lpstr>Jesse Gibson</vt:lpstr>
      <vt:lpstr>Drew Dines</vt:lpstr>
      <vt:lpstr>Kyle Beebe</vt:lpstr>
      <vt:lpstr>Mary McKown</vt:lpstr>
      <vt:lpstr>Perry Cale</vt:lpstr>
      <vt:lpstr>Danny Floyd</vt:lpstr>
      <vt:lpstr>Customer List</vt:lpstr>
      <vt:lpstr>Kelly Robins</vt:lpstr>
      <vt:lpstr>Jim Fowler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Shannon, Darien</dc:creator>
  <cp:lastModifiedBy>Darien Shannon</cp:lastModifiedBy>
  <dcterms:created xsi:type="dcterms:W3CDTF">2017-01-17T22:20:43Z</dcterms:created>
  <dcterms:modified xsi:type="dcterms:W3CDTF">2017-01-17T22:28:00Z</dcterms:modified>
</cp:coreProperties>
</file>