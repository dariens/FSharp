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5" windowWidth="16095" windowHeight="9660" activeTab="9"/>
  </bookViews>
  <sheets>
    <sheet name="ALL" sheetId="1" r:id="rId1"/>
    <sheet name="Bob Stearns" sheetId="7" r:id="rId2"/>
    <sheet name="Chris Cline" sheetId="8" r:id="rId3"/>
    <sheet name="John Degidio" sheetId="5" r:id="rId4"/>
    <sheet name="Johnny Martinez" sheetId="4" r:id="rId5"/>
    <sheet name="Martha Leon" sheetId="6" r:id="rId6"/>
    <sheet name="Mike Powell " sheetId="2" r:id="rId7"/>
    <sheet name="Ed Tyk" sheetId="3" r:id="rId8"/>
    <sheet name="Dan Mahlan" sheetId="9" r:id="rId9"/>
    <sheet name="BLANK" sheetId="10" r:id="rId10"/>
    <sheet name="Mike Podmolik" sheetId="11" r:id="rId11"/>
    <sheet name="Drew Dines" sheetId="12" r:id="rId12"/>
    <sheet name="Mary McKown" sheetId="13" r:id="rId13"/>
    <sheet name="Kyle Beebe" sheetId="14" r:id="rId14"/>
    <sheet name="Inside" sheetId="15" r:id="rId15"/>
    <sheet name="Tom Garcia" sheetId="16" r:id="rId16"/>
    <sheet name="Luis Aranda" sheetId="17" r:id="rId17"/>
    <sheet name="Chris Reeves" sheetId="18" r:id="rId18"/>
    <sheet name="Dale Hansen" sheetId="19" r:id="rId19"/>
    <sheet name="Danny Floyd" sheetId="20" r:id="rId20"/>
    <sheet name="Mark Wides" sheetId="21" r:id="rId21"/>
    <sheet name="Dennis Harper" sheetId="22" r:id="rId22"/>
    <sheet name="James Robinson" sheetId="23" r:id="rId23"/>
    <sheet name="Victor Karl" sheetId="24" r:id="rId24"/>
    <sheet name="Kelly Robins" sheetId="25" r:id="rId25"/>
    <sheet name="Gary MacArthur" sheetId="26" r:id="rId26"/>
    <sheet name="Don Bannister" sheetId="27" r:id="rId27"/>
    <sheet name="Phyllis B." sheetId="28" r:id="rId28"/>
  </sheets>
  <calcPr calcId="145621"/>
  <fileRecoveryPr repairLoad="1"/>
</workbook>
</file>

<file path=xl/calcChain.xml><?xml version="1.0" encoding="utf-8"?>
<calcChain xmlns="http://schemas.openxmlformats.org/spreadsheetml/2006/main">
  <c r="D25" i="8" l="1"/>
  <c r="C25" i="8"/>
  <c r="B25" i="8"/>
  <c r="E25" i="8"/>
  <c r="D14" i="7"/>
  <c r="C14" i="7"/>
  <c r="B14" i="7"/>
  <c r="E14" i="7"/>
  <c r="D5" i="6"/>
  <c r="C5" i="6"/>
  <c r="B5" i="6"/>
  <c r="E5" i="6"/>
  <c r="D21" i="5"/>
  <c r="C21" i="5"/>
  <c r="B21" i="5"/>
  <c r="E21" i="5"/>
  <c r="D20" i="4"/>
  <c r="C20" i="4"/>
  <c r="B20" i="4"/>
  <c r="E20" i="4"/>
  <c r="D15" i="3" l="1"/>
  <c r="C15" i="3"/>
  <c r="B15" i="3"/>
  <c r="E15" i="3"/>
  <c r="B24" i="2"/>
  <c r="C24" i="2"/>
  <c r="D24" i="2"/>
  <c r="E24" i="2"/>
  <c r="B158" i="1"/>
  <c r="C158" i="1"/>
  <c r="D158" i="1"/>
  <c r="E158" i="1"/>
</calcChain>
</file>

<file path=xl/sharedStrings.xml><?xml version="1.0" encoding="utf-8"?>
<sst xmlns="http://schemas.openxmlformats.org/spreadsheetml/2006/main" count="492" uniqueCount="162">
  <si>
    <t>Customer</t>
  </si>
  <si>
    <t>A-1 STEEL</t>
  </si>
  <si>
    <t>A2I SYSTEMS</t>
  </si>
  <si>
    <t>ABLE STEEL FABRICATORS, INC.</t>
  </si>
  <si>
    <t xml:space="preserve">ALL THINGS METAL </t>
  </si>
  <si>
    <t>ALSTATE STEEL</t>
  </si>
  <si>
    <t>AMBER STEEL FABRICATION INC</t>
  </si>
  <si>
    <t>AMFAB STEEL, INC.</t>
  </si>
  <si>
    <t xml:space="preserve">BEATTIE INC </t>
  </si>
  <si>
    <t>BEHLEN BUILDINGS SYSTEMS</t>
  </si>
  <si>
    <t>BELL STEEL INC</t>
  </si>
  <si>
    <t>BLUESCOPE CONSTRUCTION</t>
  </si>
  <si>
    <t xml:space="preserve">BLUESCOPE CSS  </t>
  </si>
  <si>
    <t>BLUESCOPE STEEL</t>
  </si>
  <si>
    <t xml:space="preserve">BOMAN &amp; KEMP </t>
  </si>
  <si>
    <t>BOMAN &amp; KEMP MFG INC</t>
  </si>
  <si>
    <t>BUTLER MFG - CA</t>
  </si>
  <si>
    <t>BWB CONTRACTORS</t>
  </si>
  <si>
    <t>C&amp;C METALS, INC.</t>
  </si>
  <si>
    <t>CALCO CONSTRUCTION SERVICES</t>
  </si>
  <si>
    <t>CAMPBELL CERTIFIED, INC.</t>
  </si>
  <si>
    <t>CANNON CONSTRUCTORS NORTH, INC</t>
  </si>
  <si>
    <t>CASCADE STRUCTURES LLC</t>
  </si>
  <si>
    <t>CENTER-LINE COMPANY</t>
  </si>
  <si>
    <t>CHAMPION STEEL CORP</t>
  </si>
  <si>
    <t>CLEVELAND CONST. &amp; DESIGN</t>
  </si>
  <si>
    <t>CORLE BUILDING SYSTEMS</t>
  </si>
  <si>
    <t>CUTTING EDGE FABRICATION</t>
  </si>
  <si>
    <t>D.B.E. MFG &amp; SUPPLY</t>
  </si>
  <si>
    <t>DATELINE EXPORTS</t>
  </si>
  <si>
    <t>DAVISON IRON WORKS, INC.</t>
  </si>
  <si>
    <t>DESERT STRUCTURES</t>
  </si>
  <si>
    <t xml:space="preserve">DIETRICH IRON WORKS </t>
  </si>
  <si>
    <t>DISPLAY SERVICES</t>
  </si>
  <si>
    <t>DIVERSIFIED BUILDERS INC</t>
  </si>
  <si>
    <t>DIVISION 5 INC</t>
  </si>
  <si>
    <t>DUKE PACIFIC, INC.</t>
  </si>
  <si>
    <t>EL DORADO IRON WORKS INC</t>
  </si>
  <si>
    <t xml:space="preserve">ENGINEERED PRODUCTS </t>
  </si>
  <si>
    <t>FACILITY MAKERS INC</t>
  </si>
  <si>
    <t>FALCON IRON INC.</t>
  </si>
  <si>
    <t>FERGUSON CONSTRUCTION, INC</t>
  </si>
  <si>
    <t>FISHER METAL PRODUCTS</t>
  </si>
  <si>
    <t>FRONT RANGE STEEL</t>
  </si>
  <si>
    <t>GARCO BUILDING SYSTEMS</t>
  </si>
  <si>
    <t>GEM BUILDINGS</t>
  </si>
  <si>
    <t>GLENCO</t>
  </si>
  <si>
    <t>H.A. FABRICATORS</t>
  </si>
  <si>
    <t>HASKELL</t>
  </si>
  <si>
    <t>HEAVY STRUCTURES</t>
  </si>
  <si>
    <t>HME, INC</t>
  </si>
  <si>
    <t>HOBBY LOBBY</t>
  </si>
  <si>
    <t>ICSW, INC</t>
  </si>
  <si>
    <t>IMETCO INC</t>
  </si>
  <si>
    <t xml:space="preserve">IN HOUSE BUILDERS </t>
  </si>
  <si>
    <t>INFINITY METALS INC</t>
  </si>
  <si>
    <t>J.B. STEEL</t>
  </si>
  <si>
    <t>JANUS INTERNATIONAL</t>
  </si>
  <si>
    <t>JD SALES</t>
  </si>
  <si>
    <t>JD2, INC.</t>
  </si>
  <si>
    <t>KASCO STRUCTURES LLC</t>
  </si>
  <si>
    <t>KD STEEL INC</t>
  </si>
  <si>
    <t>KDR STEEL &amp; MISC. METALS</t>
  </si>
  <si>
    <t>KERN STEEL FABRICATION</t>
  </si>
  <si>
    <t>KING FAB LLC</t>
  </si>
  <si>
    <t>KLOECKNER METALS CORPORATION</t>
  </si>
  <si>
    <t>KUECKER LOGISTICS GROUP</t>
  </si>
  <si>
    <t>KWAN WO IRONWORKS, INC.</t>
  </si>
  <si>
    <t>LB CONSTRUCTION INC.</t>
  </si>
  <si>
    <t>LEADING TECH DEVELOPMENT</t>
  </si>
  <si>
    <t>LHL CONSTRUCTION, INC.</t>
  </si>
  <si>
    <t>LMBI INC</t>
  </si>
  <si>
    <t xml:space="preserve">MAKO STEEL </t>
  </si>
  <si>
    <t>MARQUEZ WROUGHT IRON</t>
  </si>
  <si>
    <t>MARTIN IRON WORKS, INC.</t>
  </si>
  <si>
    <t>MECHANICAL INDUSTRIES, INC.</t>
  </si>
  <si>
    <t>METAL DECK DIRECT</t>
  </si>
  <si>
    <t>MILLING MACHINERY, INC</t>
  </si>
  <si>
    <t>MISCELLANEOUS SOLUTIONS LLC</t>
  </si>
  <si>
    <t xml:space="preserve">MOOREFIELD CONSTRUCTION </t>
  </si>
  <si>
    <t>MORALES ARTISTIC WROUGHT IRON</t>
  </si>
  <si>
    <t>MTW INDUSTRIES LLC</t>
  </si>
  <si>
    <t>NCI BUILDING SYSTEMS</t>
  </si>
  <si>
    <t>NEVADA RAILROAD MUSEUM</t>
  </si>
  <si>
    <t xml:space="preserve">NEW MEXICO STEEL FABRICATORS </t>
  </si>
  <si>
    <t xml:space="preserve">NEW MILLENNIUM - TN </t>
  </si>
  <si>
    <t xml:space="preserve">NEW MILLENNIUM -AR </t>
  </si>
  <si>
    <t>NEW MILLENNIUM- JZ</t>
  </si>
  <si>
    <t>NORTH STAR INDUSTRIES, INC.</t>
  </si>
  <si>
    <t>NUNO IRON &amp; MFG. INC</t>
  </si>
  <si>
    <t xml:space="preserve">PACE METALS NORTH </t>
  </si>
  <si>
    <t>PACIFIC ERECTORS, INC.</t>
  </si>
  <si>
    <t xml:space="preserve">PACIFIC STEEL </t>
  </si>
  <si>
    <t>PANELIZED STRUCTURES, INC</t>
  </si>
  <si>
    <t>PANELIZED STRUCTURES-NEVADA</t>
  </si>
  <si>
    <t>PDM STEEL SERVICE CENTERS INC</t>
  </si>
  <si>
    <t>PRESCIENT CO</t>
  </si>
  <si>
    <t>PROJECT STEEL COMPANY, INC.</t>
  </si>
  <si>
    <t>PROSSER WILBERT CONSTRUCTION</t>
  </si>
  <si>
    <t>PROSTEEL INC.</t>
  </si>
  <si>
    <t>R &amp; A ROOF STRUCTURES</t>
  </si>
  <si>
    <t>R&amp;O CONSTRUCTION</t>
  </si>
  <si>
    <t>RARIG CONSTRUCTION, INC.</t>
  </si>
  <si>
    <t xml:space="preserve">RAZCO METAL </t>
  </si>
  <si>
    <t>RENO IRON WORKS</t>
  </si>
  <si>
    <t>RF STEARNS, INC.</t>
  </si>
  <si>
    <t>ROBERT BLOSSOM DESIGN</t>
  </si>
  <si>
    <t>ROOF STRUCTURES</t>
  </si>
  <si>
    <t>S&amp;H STEEL</t>
  </si>
  <si>
    <t>S&amp;H WELDING, INC.</t>
  </si>
  <si>
    <t>SADDLEBACK STEEL</t>
  </si>
  <si>
    <t>SANTA FE STEEL</t>
  </si>
  <si>
    <t>SBI METAL BUILDINGS</t>
  </si>
  <si>
    <t>SES GROUP INC.</t>
  </si>
  <si>
    <t>SKYLINE STEEL INC</t>
  </si>
  <si>
    <t>SMITH IRONWORKS</t>
  </si>
  <si>
    <t>SOUTHERN NEVADA WELDING</t>
  </si>
  <si>
    <t>SOUTHWEST IRONWORK INC</t>
  </si>
  <si>
    <t>SPARHAWK METALS INC</t>
  </si>
  <si>
    <t>STAR BUILDING SYSTEMS</t>
  </si>
  <si>
    <t xml:space="preserve">STEEL BIZ  INC </t>
  </si>
  <si>
    <t xml:space="preserve">STEEL BUILT BUILDING SYSTEMS </t>
  </si>
  <si>
    <t>STEEL ENCOUNTERS - NW</t>
  </si>
  <si>
    <t>STEEL ENCOUNTERS, INC</t>
  </si>
  <si>
    <t>STEEL LLC</t>
  </si>
  <si>
    <t>STEEL MANAGEMENT, INC.</t>
  </si>
  <si>
    <t>STEEL SPECIALTIES INC</t>
  </si>
  <si>
    <t>STEEL TECH INDUSTRIAL CORP.</t>
  </si>
  <si>
    <t>STEELE SOLUTIONS INC. - OH</t>
  </si>
  <si>
    <t>STROUSS BROS. CONSTRUCTION INC</t>
  </si>
  <si>
    <t>SUNSTEEL LLC</t>
  </si>
  <si>
    <t>TECHNICAL STEEL CONST. INC.</t>
  </si>
  <si>
    <t>THE KROGER CO.</t>
  </si>
  <si>
    <t>TIPPEN STEEL SERVICES</t>
  </si>
  <si>
    <t>TLK STEEL INC.</t>
  </si>
  <si>
    <t>TOMBARI STRUCTURAL PRODUCTS</t>
  </si>
  <si>
    <t>TRIAD STEEL SERVICES, INC</t>
  </si>
  <si>
    <t>UNITED METAL DECK LLC</t>
  </si>
  <si>
    <t>V3 STEEL</t>
  </si>
  <si>
    <t>VP BUILDINGS - CA</t>
  </si>
  <si>
    <t>VP BUILDINGS - MO</t>
  </si>
  <si>
    <t>VP BUILDINGS - TN</t>
  </si>
  <si>
    <t>VP BUILDINGS - WI</t>
  </si>
  <si>
    <t xml:space="preserve">W &amp; W STEEL LLC - TX-  </t>
  </si>
  <si>
    <t>W&amp;H SYSTEMS</t>
  </si>
  <si>
    <t>WADMAN CORPORATION</t>
  </si>
  <si>
    <t>WAL-MART REALTY</t>
  </si>
  <si>
    <t>WALLTEK SYSTEMS</t>
  </si>
  <si>
    <t>WE FAB STEEL, INC</t>
  </si>
  <si>
    <t>WEST SIDE FABRICATION LLC</t>
  </si>
  <si>
    <t>WESTERN SLOPE IRON</t>
  </si>
  <si>
    <t>WILDECK</t>
  </si>
  <si>
    <t>WOODLAND FRAMING</t>
  </si>
  <si>
    <t>WS STEEL STRUCTURES LP</t>
  </si>
  <si>
    <t xml:space="preserve">WW SMITH CONSTRUCTION </t>
  </si>
  <si>
    <t>WYNRIGHT (ILLINOIS)</t>
  </si>
  <si>
    <t>ZZONE CONSTRUCTION, LLC</t>
  </si>
  <si>
    <t>Joist Tons</t>
  </si>
  <si>
    <t>Joist Plant Price (W/ Bump)</t>
  </si>
  <si>
    <t>Deck Tons</t>
  </si>
  <si>
    <t>Deck Price (W/ Shipping)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</si>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</sst>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$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9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\$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E158" totalsRowCount="1">
  <autoFilter ref="A1:E157"/>
  <sortState ref="A2:E157">
    <sortCondition ref="A1:A157"/>
  </sortState>
  <tableColumns count="5">
    <tableColumn id="1" name="Column1" totalsRowLabel="Total" dataDxfId="28"/>
    <tableColumn id="2" name="Column2" totalsRowFunction="sum"/>
    <tableColumn id="3" name="Column3" totalsRowFunction="sum"/>
    <tableColumn id="4" name="Column4" totalsRowFunction="sum"/>
    <tableColumn id="5" name="Column5" totalsRowFunction="sum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A1:E14" totalsRowCount="1">
  <autoFilter ref="A1:E13"/>
  <tableColumns count="5">
    <tableColumn id="1" name="Column1" totalsRowLabel="Total" dataDxfId="27"/>
    <tableColumn id="2" name="Column2" totalsRowFunction="sum"/>
    <tableColumn id="3" name="Column3" totalsRowFunction="sum"/>
    <tableColumn id="4" name="Column4" totalsRowFunction="sum"/>
    <tableColumn id="5" name="Column5" totalsRowFunction="sum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8" name="Table8" displayName="Table8" ref="A1:E25" totalsRowCount="1">
  <autoFilter ref="A1:E24"/>
  <tableColumns count="5">
    <tableColumn id="1" name="Column1" totalsRowLabel="Total" dataDxfId="26"/>
    <tableColumn id="2" name="Column2" totalsRowFunction="sum"/>
    <tableColumn id="3" name="Column3" totalsRowFunction="sum"/>
    <tableColumn id="4" name="Column4" totalsRowFunction="sum"/>
    <tableColumn id="5" name="Column5" totalsRowFunction="sum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E21" totalsRowCount="1">
  <autoFilter ref="A1:E20"/>
  <tableColumns count="5">
    <tableColumn id="1" name="Column1" totalsRowLabel="Total" dataDxfId="25"/>
    <tableColumn id="2" name="Column2" totalsRowFunction="sum"/>
    <tableColumn id="3" name="Column3" totalsRowFunction="sum"/>
    <tableColumn id="4" name="Column4" totalsRowFunction="sum"/>
    <tableColumn id="5" name="Column5" totalsRowFunction="sum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E20" totalsRowCount="1">
  <autoFilter ref="A1:E19"/>
  <tableColumns count="5">
    <tableColumn id="1" name="Column1" totalsRowLabel="Total" dataDxfId="24"/>
    <tableColumn id="2" name="Column2" totalsRowFunction="sum"/>
    <tableColumn id="3" name="Column3" totalsRowFunction="sum"/>
    <tableColumn id="4" name="Column4" totalsRowFunction="sum"/>
    <tableColumn id="5" name="Column5" totalsRowFunction="sum" totalsRowDxfId="2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A1:E5" totalsRowCount="1">
  <autoFilter ref="A1:E4"/>
  <tableColumns count="5">
    <tableColumn id="1" name="Column1" totalsRowLabel="Total" dataDxfId="22"/>
    <tableColumn id="2" name="Column2" totalsRowFunction="sum"/>
    <tableColumn id="3" name="Column3" totalsRowFunction="sum"/>
    <tableColumn id="4" name="Column4" totalsRowFunction="sum"/>
    <tableColumn id="5" name="Column5" totalsRowFunction="sum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1:E24" totalsRowCount="1">
  <autoFilter ref="A1:E23"/>
  <tableColumns count="5">
    <tableColumn id="1" name="Column1" totalsRowLabel="Total" dataDxfId="21"/>
    <tableColumn id="2" name="Column2" totalsRowFunction="sum"/>
    <tableColumn id="3" name="Column3" totalsRowFunction="sum"/>
    <tableColumn id="4" name="Column4" totalsRowFunction="sum"/>
    <tableColumn id="5" name="Column5" totalsRowFunction="sum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3" name="Table3" displayName="Table3" ref="A1:E15" totalsRowCount="1">
  <autoFilter ref="A1:E14"/>
  <tableColumns count="5">
    <tableColumn id="1" name="Column1" totalsRowLabel="Total" dataDxfId="20"/>
    <tableColumn id="2" name="Column2" totalsRowFunction="sum"/>
    <tableColumn id="3" name="Column3" totalsRowFunction="sum"/>
    <tableColumn id="4" name="Column4" totalsRowFunction="sum"/>
    <tableColumn id="5" name="Column5" totalsRowFunction="sum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1:E3" totalsRowShown="0">
  <autoFilter ref="A1:E3"/>
  <tableColumns count="5">
    <tableColumn id="1" name="Column1" dataDxfId="19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A1:E22" totalsRowShown="0">
  <autoFilter ref="A1:E22"/>
  <tableColumns count="5">
    <tableColumn id="1" name="Column1" dataDxfId="18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able11" displayName="Table11" ref="A1:E2" totalsRowShown="0">
  <autoFilter ref="A1:E2"/>
  <tableColumns count="5">
    <tableColumn id="1" name="Column1" dataDxfId="17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able12" displayName="Table12" ref="A1:E8" totalsRowShown="0">
  <autoFilter ref="A1:E8"/>
  <tableColumns count="5">
    <tableColumn id="1" name="Column1" dataDxfId="16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able13" displayName="Table13" ref="A1:E10" totalsRowShown="0">
  <autoFilter ref="A1:E10"/>
  <tableColumns count="5">
    <tableColumn id="1" name="Column1" dataDxfId="15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able14" displayName="Table14" ref="A1:E9" totalsRowShown="0">
  <autoFilter ref="A1:E9"/>
  <tableColumns count="5">
    <tableColumn id="1" name="Column1" dataDxfId="14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able15" displayName="Table15" ref="A1:E11" totalsRowShown="0">
  <autoFilter ref="A1:E11"/>
  <tableColumns count="5">
    <tableColumn id="1" name="Column1" dataDxfId="13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able16" displayName="Table16" ref="A1:E3" totalsRowShown="0">
  <autoFilter ref="A1:E3"/>
  <tableColumns count="5">
    <tableColumn id="1" name="Column1" dataDxfId="12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able17" displayName="Table17" ref="A1:E2" totalsRowShown="0">
  <autoFilter ref="A1:E2"/>
  <tableColumns count="5">
    <tableColumn id="1" name="Column1" dataDxfId="11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able18" displayName="Table18" ref="A1:E3" totalsRowShown="0">
  <autoFilter ref="A1:E3"/>
  <tableColumns count="5">
    <tableColumn id="1" name="Column1" dataDxfId="10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able19" displayName="Table19" ref="A1:E4" totalsRowShown="0">
  <autoFilter ref="A1:E4"/>
  <tableColumns count="5">
    <tableColumn id="1" name="Column1" dataDxfId="9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able20" displayName="Table20" ref="A1:E2" totalsRowShown="0">
  <autoFilter ref="A1:E2"/>
  <tableColumns count="5">
    <tableColumn id="1" name="Column1" dataDxfId="8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able21" displayName="Table21" ref="A1:E3" totalsRowShown="0">
  <autoFilter ref="A1:E3"/>
  <tableColumns count="5">
    <tableColumn id="1" name="Column1" dataDxfId="7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able22" displayName="Table22" ref="A1:E4" totalsRowShown="0">
  <autoFilter ref="A1:E4"/>
  <tableColumns count="5">
    <tableColumn id="1" name="Column1" dataDxfId="6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able23" displayName="Table23" ref="A1:E2" totalsRowShown="0">
  <autoFilter ref="A1:E2"/>
  <tableColumns count="5">
    <tableColumn id="1" name="Column1" dataDxfId="5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able24" displayName="Table24" ref="A1:E2" totalsRowShown="0">
  <autoFilter ref="A1:E2"/>
  <tableColumns count="5">
    <tableColumn id="1" name="Column1" dataDxfId="4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25" name="Table25" displayName="Table25" ref="A1:E2" totalsRowShown="0">
  <autoFilter ref="A1:E2"/>
  <tableColumns count="5">
    <tableColumn id="1" name="Column1" dataDxfId="3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26" name="Table26" displayName="Table26" ref="A1:E2" totalsRowShown="0">
  <autoFilter ref="A1:E2"/>
  <tableColumns count="5">
    <tableColumn id="1" name="Column1" dataDxfId="2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27" name="Table27" displayName="Table27" ref="A1:E2" totalsRowShown="0">
  <autoFilter ref="A1:E2"/>
  <tableColumns count="5">
    <tableColumn id="1" name="Column1" dataDxfId="1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28" name="Table28" displayName="Table28" ref="A1:E2" totalsRowShown="0">
  <autoFilter ref="A1:E2"/>
  <tableColumns count="5">
    <tableColumn id="1" name="Column1" dataDxfId="0"/>
    <tableColumn id="2" name="Column2"/>
    <tableColumn id="3" name="Column3"/>
    <tableColumn id="4" name="Column4"/>
    <tableColumn id="5" name="Column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8"/>
  <sheetViews>
    <sheetView workbookViewId="0">
      <selection activeCell="J8" sqref="J8"/>
    </sheetView>
  </sheetViews>
  <sheetFormatPr defaultRowHeight="15" x14ac:dyDescent="0.25"/>
  <cols>
    <col min="1" max="1" width="35.425781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1</v>
      </c>
      <c r="B2" s="1">
        <v>28.46156964</v>
      </c>
      <c r="C2" s="2">
        <v>34027</v>
      </c>
      <c r="D2" s="1">
        <v>14.864030682999999</v>
      </c>
      <c r="E2" s="2">
        <v>17106.72</v>
      </c>
    </row>
    <row r="3" spans="1:5" x14ac:dyDescent="0.25">
      <c r="A3" s="1" t="s">
        <v>2</v>
      </c>
      <c r="B3" s="1">
        <v>0</v>
      </c>
      <c r="C3" s="2">
        <v>0</v>
      </c>
      <c r="D3" s="1">
        <v>411.07307329999998</v>
      </c>
      <c r="E3" s="2">
        <v>417012.393912</v>
      </c>
    </row>
    <row r="4" spans="1:5" x14ac:dyDescent="0.25">
      <c r="A4" s="1" t="s">
        <v>3</v>
      </c>
      <c r="B4" s="1">
        <v>0</v>
      </c>
      <c r="C4" s="2">
        <v>0</v>
      </c>
      <c r="D4" s="1">
        <v>17.940102595999999</v>
      </c>
      <c r="E4" s="2">
        <v>18800.304</v>
      </c>
    </row>
    <row r="5" spans="1:5" x14ac:dyDescent="0.25">
      <c r="A5" s="1" t="s">
        <v>4</v>
      </c>
      <c r="B5" s="1">
        <v>0</v>
      </c>
      <c r="C5" s="2">
        <v>0</v>
      </c>
      <c r="D5" s="1">
        <v>8.5807683089999998</v>
      </c>
      <c r="E5" s="2">
        <v>10640.9246</v>
      </c>
    </row>
    <row r="6" spans="1:5" x14ac:dyDescent="0.25">
      <c r="A6" s="1" t="s">
        <v>5</v>
      </c>
      <c r="B6" s="1">
        <v>0</v>
      </c>
      <c r="C6" s="2">
        <v>0</v>
      </c>
      <c r="D6" s="1">
        <v>18.052785888999999</v>
      </c>
      <c r="E6" s="2">
        <v>22820.389200000001</v>
      </c>
    </row>
    <row r="7" spans="1:5" x14ac:dyDescent="0.25">
      <c r="A7" s="1" t="s">
        <v>6</v>
      </c>
      <c r="B7" s="1">
        <v>0</v>
      </c>
      <c r="C7" s="2">
        <v>0</v>
      </c>
      <c r="D7" s="1">
        <v>2.620611877</v>
      </c>
      <c r="E7" s="2">
        <v>2875.6</v>
      </c>
    </row>
    <row r="8" spans="1:5" x14ac:dyDescent="0.25">
      <c r="A8" s="1" t="s">
        <v>7</v>
      </c>
      <c r="B8" s="1">
        <v>0</v>
      </c>
      <c r="C8" s="2">
        <v>0</v>
      </c>
      <c r="D8" s="1">
        <v>417.29616155000002</v>
      </c>
      <c r="E8" s="2">
        <v>393174.37</v>
      </c>
    </row>
    <row r="9" spans="1:5" x14ac:dyDescent="0.25">
      <c r="A9" s="1" t="s">
        <v>8</v>
      </c>
      <c r="B9" s="1">
        <v>2.12</v>
      </c>
      <c r="C9" s="2">
        <v>8399.4500000000007</v>
      </c>
      <c r="D9" s="1">
        <v>0</v>
      </c>
      <c r="E9" s="2">
        <v>0</v>
      </c>
    </row>
    <row r="10" spans="1:5" x14ac:dyDescent="0.25">
      <c r="A10" s="1" t="s">
        <v>9</v>
      </c>
      <c r="B10" s="1">
        <v>119.46</v>
      </c>
      <c r="C10" s="2">
        <v>166478.75</v>
      </c>
      <c r="D10" s="1">
        <v>7.4949830980000014</v>
      </c>
      <c r="E10" s="2">
        <v>16568.712200000002</v>
      </c>
    </row>
    <row r="11" spans="1:5" x14ac:dyDescent="0.25">
      <c r="A11" s="1" t="s">
        <v>10</v>
      </c>
      <c r="B11" s="1">
        <v>0</v>
      </c>
      <c r="C11" s="2">
        <v>0</v>
      </c>
      <c r="D11" s="1">
        <v>12.905934921</v>
      </c>
      <c r="E11" s="2">
        <v>9585.9962000000014</v>
      </c>
    </row>
    <row r="12" spans="1:5" x14ac:dyDescent="0.25">
      <c r="A12" s="1" t="s">
        <v>11</v>
      </c>
      <c r="B12" s="1">
        <v>38.479837320000001</v>
      </c>
      <c r="C12" s="2">
        <v>67763.5</v>
      </c>
      <c r="D12" s="1">
        <v>19.489855132999999</v>
      </c>
      <c r="E12" s="2">
        <v>22878.0897</v>
      </c>
    </row>
    <row r="13" spans="1:5" x14ac:dyDescent="0.25">
      <c r="A13" s="1" t="s">
        <v>12</v>
      </c>
      <c r="B13" s="1">
        <v>7.42</v>
      </c>
      <c r="C13" s="2">
        <v>15694.95</v>
      </c>
      <c r="D13" s="1">
        <v>17.249812480999999</v>
      </c>
      <c r="E13" s="2">
        <v>37118.148999999998</v>
      </c>
    </row>
    <row r="14" spans="1:5" x14ac:dyDescent="0.25">
      <c r="A14" s="1" t="s">
        <v>13</v>
      </c>
      <c r="B14" s="1">
        <v>0</v>
      </c>
      <c r="C14" s="2">
        <v>0</v>
      </c>
      <c r="D14" s="1">
        <v>6.7602833900000006</v>
      </c>
      <c r="E14" s="2">
        <v>23906.424999999999</v>
      </c>
    </row>
    <row r="15" spans="1:5" x14ac:dyDescent="0.25">
      <c r="A15" s="1" t="s">
        <v>14</v>
      </c>
      <c r="B15" s="1">
        <v>0</v>
      </c>
      <c r="C15" s="2">
        <v>0</v>
      </c>
      <c r="D15" s="1">
        <v>23.243846779999998</v>
      </c>
      <c r="E15" s="2">
        <v>25274.2464</v>
      </c>
    </row>
    <row r="16" spans="1:5" x14ac:dyDescent="0.25">
      <c r="A16" s="1" t="s">
        <v>15</v>
      </c>
      <c r="B16" s="1">
        <v>0</v>
      </c>
      <c r="C16" s="2">
        <v>0</v>
      </c>
      <c r="D16" s="1">
        <v>65.831266525000004</v>
      </c>
      <c r="E16" s="2">
        <v>74260.524000000005</v>
      </c>
    </row>
    <row r="17" spans="1:5" x14ac:dyDescent="0.25">
      <c r="A17" s="1" t="s">
        <v>16</v>
      </c>
      <c r="B17" s="1">
        <v>6.43</v>
      </c>
      <c r="C17" s="2">
        <v>16089.05</v>
      </c>
      <c r="D17" s="1">
        <v>0</v>
      </c>
      <c r="E17" s="2">
        <v>0</v>
      </c>
    </row>
    <row r="18" spans="1:5" x14ac:dyDescent="0.25">
      <c r="A18" s="1" t="s">
        <v>17</v>
      </c>
      <c r="B18" s="1">
        <v>2.8849327059999998</v>
      </c>
      <c r="C18" s="2">
        <v>6414.45</v>
      </c>
      <c r="D18" s="1">
        <v>2.2216087369999999</v>
      </c>
      <c r="E18" s="2">
        <v>3908.7312000000002</v>
      </c>
    </row>
    <row r="19" spans="1:5" x14ac:dyDescent="0.25">
      <c r="A19" s="1" t="s">
        <v>18</v>
      </c>
      <c r="B19" s="1">
        <v>0</v>
      </c>
      <c r="C19" s="2">
        <v>0</v>
      </c>
      <c r="D19" s="1">
        <v>6.6484597079999999</v>
      </c>
      <c r="E19" s="2">
        <v>10151.700000000001</v>
      </c>
    </row>
    <row r="20" spans="1:5" x14ac:dyDescent="0.25">
      <c r="A20" s="1" t="s">
        <v>19</v>
      </c>
      <c r="B20" s="1">
        <v>9.2080278209999999</v>
      </c>
      <c r="C20" s="2">
        <v>12640.8</v>
      </c>
      <c r="D20" s="1">
        <v>0</v>
      </c>
      <c r="E20" s="2">
        <v>0</v>
      </c>
    </row>
    <row r="21" spans="1:5" x14ac:dyDescent="0.25">
      <c r="A21" s="1" t="s">
        <v>20</v>
      </c>
      <c r="B21" s="1">
        <v>0</v>
      </c>
      <c r="C21" s="2">
        <v>0</v>
      </c>
      <c r="D21" s="1">
        <v>1.355568943</v>
      </c>
      <c r="E21" s="2">
        <v>2593.5</v>
      </c>
    </row>
    <row r="22" spans="1:5" x14ac:dyDescent="0.25">
      <c r="A22" s="1" t="s">
        <v>21</v>
      </c>
      <c r="B22" s="1">
        <v>3.03</v>
      </c>
      <c r="C22" s="2">
        <v>10460.799999999999</v>
      </c>
      <c r="D22" s="1">
        <v>0</v>
      </c>
      <c r="E22" s="2">
        <v>0</v>
      </c>
    </row>
    <row r="23" spans="1:5" x14ac:dyDescent="0.25">
      <c r="A23" s="1" t="s">
        <v>22</v>
      </c>
      <c r="B23" s="1">
        <v>36.251023889999999</v>
      </c>
      <c r="C23" s="2">
        <v>56491.5</v>
      </c>
      <c r="D23" s="1">
        <v>0</v>
      </c>
      <c r="E23" s="2">
        <v>0</v>
      </c>
    </row>
    <row r="24" spans="1:5" x14ac:dyDescent="0.25">
      <c r="A24" s="1" t="s">
        <v>23</v>
      </c>
      <c r="B24" s="1">
        <v>777.38156195099998</v>
      </c>
      <c r="C24" s="2">
        <v>1090248.1000000001</v>
      </c>
      <c r="D24" s="1">
        <v>92.161985353999995</v>
      </c>
      <c r="E24" s="2">
        <v>77524.6342</v>
      </c>
    </row>
    <row r="25" spans="1:5" x14ac:dyDescent="0.25">
      <c r="A25" s="1" t="s">
        <v>24</v>
      </c>
      <c r="B25" s="1">
        <v>0</v>
      </c>
      <c r="C25" s="2">
        <v>0</v>
      </c>
      <c r="D25" s="1">
        <v>383.2691049</v>
      </c>
      <c r="E25" s="2">
        <v>126086.8942</v>
      </c>
    </row>
    <row r="26" spans="1:5" x14ac:dyDescent="0.25">
      <c r="A26" s="1" t="s">
        <v>25</v>
      </c>
      <c r="B26" s="1">
        <v>0.74</v>
      </c>
      <c r="C26" s="2">
        <v>6360.5</v>
      </c>
      <c r="D26" s="1">
        <v>0</v>
      </c>
      <c r="E26" s="2">
        <v>0</v>
      </c>
    </row>
    <row r="27" spans="1:5" x14ac:dyDescent="0.25">
      <c r="A27" s="1" t="s">
        <v>26</v>
      </c>
      <c r="B27" s="1">
        <v>1.58</v>
      </c>
      <c r="C27" s="2">
        <v>4145.25</v>
      </c>
      <c r="D27" s="1">
        <v>0</v>
      </c>
      <c r="E27" s="2">
        <v>0</v>
      </c>
    </row>
    <row r="28" spans="1:5" x14ac:dyDescent="0.25">
      <c r="A28" s="1" t="s">
        <v>27</v>
      </c>
      <c r="B28" s="1">
        <v>0</v>
      </c>
      <c r="C28" s="2">
        <v>0</v>
      </c>
      <c r="D28" s="1">
        <v>104.473278556</v>
      </c>
      <c r="E28" s="2">
        <v>102518.9106</v>
      </c>
    </row>
    <row r="29" spans="1:5" x14ac:dyDescent="0.25">
      <c r="A29" s="1" t="s">
        <v>28</v>
      </c>
      <c r="B29" s="1">
        <v>0</v>
      </c>
      <c r="C29" s="2">
        <v>0</v>
      </c>
      <c r="D29" s="1">
        <v>1.745198188</v>
      </c>
      <c r="E29" s="2">
        <v>4272.8145000000004</v>
      </c>
    </row>
    <row r="30" spans="1:5" x14ac:dyDescent="0.25">
      <c r="A30" s="1" t="s">
        <v>29</v>
      </c>
      <c r="B30" s="1">
        <v>40.871481879999997</v>
      </c>
      <c r="C30" s="2">
        <v>76361.5</v>
      </c>
      <c r="D30" s="1">
        <v>0</v>
      </c>
      <c r="E30" s="2">
        <v>0</v>
      </c>
    </row>
    <row r="31" spans="1:5" x14ac:dyDescent="0.25">
      <c r="A31" s="1" t="s">
        <v>30</v>
      </c>
      <c r="B31" s="1">
        <v>8.67</v>
      </c>
      <c r="C31" s="2">
        <v>11398</v>
      </c>
      <c r="D31" s="1">
        <v>0</v>
      </c>
      <c r="E31" s="2">
        <v>0</v>
      </c>
    </row>
    <row r="32" spans="1:5" x14ac:dyDescent="0.25">
      <c r="A32" s="1" t="s">
        <v>31</v>
      </c>
      <c r="B32" s="1">
        <v>5.0894658660000003</v>
      </c>
      <c r="C32" s="2">
        <v>9361.7999999999993</v>
      </c>
      <c r="D32" s="1">
        <v>6.5813196100000004</v>
      </c>
      <c r="E32" s="2">
        <v>8119.3588</v>
      </c>
    </row>
    <row r="33" spans="1:5" x14ac:dyDescent="0.25">
      <c r="A33" s="1" t="s">
        <v>32</v>
      </c>
      <c r="B33" s="1">
        <v>6.4238039260000006</v>
      </c>
      <c r="C33" s="2">
        <v>8667.6</v>
      </c>
      <c r="D33" s="1">
        <v>9.6407031290000003</v>
      </c>
      <c r="E33" s="2">
        <v>11586.87</v>
      </c>
    </row>
    <row r="34" spans="1:5" x14ac:dyDescent="0.25">
      <c r="A34" s="1" t="s">
        <v>33</v>
      </c>
      <c r="B34" s="1">
        <v>0</v>
      </c>
      <c r="C34" s="2">
        <v>0</v>
      </c>
      <c r="D34" s="1">
        <v>11.52014121</v>
      </c>
      <c r="E34" s="2">
        <v>13241.34</v>
      </c>
    </row>
    <row r="35" spans="1:5" x14ac:dyDescent="0.25">
      <c r="A35" s="1" t="s">
        <v>34</v>
      </c>
      <c r="B35" s="1">
        <v>0</v>
      </c>
      <c r="C35" s="2">
        <v>0</v>
      </c>
      <c r="D35" s="1">
        <v>27.738592176000001</v>
      </c>
      <c r="E35" s="2">
        <v>33624.875399999997</v>
      </c>
    </row>
    <row r="36" spans="1:5" x14ac:dyDescent="0.25">
      <c r="A36" s="1" t="s">
        <v>35</v>
      </c>
      <c r="B36" s="1">
        <v>72.874448392999994</v>
      </c>
      <c r="C36" s="2">
        <v>100603.6</v>
      </c>
      <c r="D36" s="1">
        <v>0</v>
      </c>
      <c r="E36" s="2">
        <v>0</v>
      </c>
    </row>
    <row r="37" spans="1:5" x14ac:dyDescent="0.25">
      <c r="A37" s="1" t="s">
        <v>36</v>
      </c>
      <c r="B37" s="1">
        <v>5778.269163326001</v>
      </c>
      <c r="C37" s="2">
        <v>7374718.3499999987</v>
      </c>
      <c r="D37" s="1">
        <v>0</v>
      </c>
      <c r="E37" s="2">
        <v>0</v>
      </c>
    </row>
    <row r="38" spans="1:5" x14ac:dyDescent="0.25">
      <c r="A38" s="1" t="s">
        <v>37</v>
      </c>
      <c r="B38" s="1">
        <v>7.5885329539999997</v>
      </c>
      <c r="C38" s="2">
        <v>8232.9</v>
      </c>
      <c r="D38" s="1">
        <v>8.096605481000001</v>
      </c>
      <c r="E38" s="2">
        <v>9635.9284000000007</v>
      </c>
    </row>
    <row r="39" spans="1:5" x14ac:dyDescent="0.25">
      <c r="A39" s="1" t="s">
        <v>38</v>
      </c>
      <c r="B39" s="1">
        <v>0</v>
      </c>
      <c r="C39" s="2">
        <v>0</v>
      </c>
      <c r="D39" s="1">
        <v>2.5420924459999998</v>
      </c>
      <c r="E39" s="2">
        <v>4154.5049999999992</v>
      </c>
    </row>
    <row r="40" spans="1:5" x14ac:dyDescent="0.25">
      <c r="A40" s="1" t="s">
        <v>39</v>
      </c>
      <c r="B40" s="1">
        <v>6.33</v>
      </c>
      <c r="C40" s="2">
        <v>8563.5499999999993</v>
      </c>
      <c r="D40" s="1">
        <v>0</v>
      </c>
      <c r="E40" s="2">
        <v>0</v>
      </c>
    </row>
    <row r="41" spans="1:5" x14ac:dyDescent="0.25">
      <c r="A41" s="1" t="s">
        <v>40</v>
      </c>
      <c r="B41" s="1">
        <v>12.93</v>
      </c>
      <c r="C41" s="2">
        <v>50603</v>
      </c>
      <c r="D41" s="1">
        <v>0</v>
      </c>
      <c r="E41" s="2">
        <v>0</v>
      </c>
    </row>
    <row r="42" spans="1:5" x14ac:dyDescent="0.25">
      <c r="A42" s="1" t="s">
        <v>41</v>
      </c>
      <c r="B42" s="1">
        <v>1.492782265</v>
      </c>
      <c r="C42" s="2">
        <v>3945.75</v>
      </c>
      <c r="D42" s="1">
        <v>4.1427295730000004</v>
      </c>
      <c r="E42" s="2">
        <v>6340.1772000000001</v>
      </c>
    </row>
    <row r="43" spans="1:5" x14ac:dyDescent="0.25">
      <c r="A43" s="1" t="s">
        <v>42</v>
      </c>
      <c r="B43" s="1">
        <v>27.158978350000002</v>
      </c>
      <c r="C43" s="2">
        <v>43434.350000000013</v>
      </c>
      <c r="D43" s="1">
        <v>0</v>
      </c>
      <c r="E43" s="2">
        <v>0</v>
      </c>
    </row>
    <row r="44" spans="1:5" x14ac:dyDescent="0.25">
      <c r="A44" s="1" t="s">
        <v>43</v>
      </c>
      <c r="B44" s="1">
        <v>0</v>
      </c>
      <c r="C44" s="2">
        <v>0</v>
      </c>
      <c r="D44" s="1">
        <v>155.74681457200001</v>
      </c>
      <c r="E44" s="2">
        <v>151129.4418</v>
      </c>
    </row>
    <row r="45" spans="1:5" x14ac:dyDescent="0.25">
      <c r="A45" s="1" t="s">
        <v>44</v>
      </c>
      <c r="B45" s="1">
        <v>87.368160383000003</v>
      </c>
      <c r="C45" s="2">
        <v>168985.9</v>
      </c>
      <c r="D45" s="1">
        <v>0</v>
      </c>
      <c r="E45" s="2">
        <v>0</v>
      </c>
    </row>
    <row r="46" spans="1:5" x14ac:dyDescent="0.25">
      <c r="A46" s="1" t="s">
        <v>45</v>
      </c>
      <c r="B46" s="1">
        <v>816.53440090000004</v>
      </c>
      <c r="C46" s="2">
        <v>1133672.55</v>
      </c>
      <c r="D46" s="1">
        <v>116.369254697</v>
      </c>
      <c r="E46" s="2">
        <v>145158.4736</v>
      </c>
    </row>
    <row r="47" spans="1:5" x14ac:dyDescent="0.25">
      <c r="A47" s="1" t="s">
        <v>46</v>
      </c>
      <c r="B47" s="1">
        <v>0</v>
      </c>
      <c r="C47" s="2">
        <v>0</v>
      </c>
      <c r="D47" s="1">
        <v>0.40606752699999998</v>
      </c>
      <c r="E47" s="2">
        <v>855.17770000000007</v>
      </c>
    </row>
    <row r="48" spans="1:5" x14ac:dyDescent="0.25">
      <c r="A48" s="1" t="s">
        <v>47</v>
      </c>
      <c r="B48" s="1">
        <v>54.74682129</v>
      </c>
      <c r="C48" s="2">
        <v>80641.899999999994</v>
      </c>
      <c r="D48" s="1">
        <v>268.18865075999997</v>
      </c>
      <c r="E48" s="2">
        <v>299872.67099999997</v>
      </c>
    </row>
    <row r="49" spans="1:5" x14ac:dyDescent="0.25">
      <c r="A49" s="1" t="s">
        <v>48</v>
      </c>
      <c r="B49" s="1">
        <v>0</v>
      </c>
      <c r="C49" s="2">
        <v>0</v>
      </c>
      <c r="D49" s="1">
        <v>0.40709549099999998</v>
      </c>
      <c r="E49" s="2">
        <v>1892.3520000000001</v>
      </c>
    </row>
    <row r="50" spans="1:5" x14ac:dyDescent="0.25">
      <c r="A50" s="1" t="s">
        <v>49</v>
      </c>
      <c r="B50" s="1">
        <v>1.2662732000000001</v>
      </c>
      <c r="C50" s="2">
        <v>2817.65</v>
      </c>
      <c r="D50" s="1">
        <v>115.603609527</v>
      </c>
      <c r="E50" s="2">
        <v>128634.8985</v>
      </c>
    </row>
    <row r="51" spans="1:5" x14ac:dyDescent="0.25">
      <c r="A51" s="1" t="s">
        <v>50</v>
      </c>
      <c r="B51" s="1">
        <v>0</v>
      </c>
      <c r="C51" s="2">
        <v>0</v>
      </c>
      <c r="D51" s="1">
        <v>113.892919939</v>
      </c>
      <c r="E51" s="2">
        <v>107826.1547</v>
      </c>
    </row>
    <row r="52" spans="1:5" x14ac:dyDescent="0.25">
      <c r="A52" s="1" t="s">
        <v>51</v>
      </c>
      <c r="B52" s="1">
        <v>578.33122677999995</v>
      </c>
      <c r="C52" s="2">
        <v>831623.77999999991</v>
      </c>
      <c r="D52" s="1">
        <v>386.64528427300002</v>
      </c>
      <c r="E52" s="2">
        <v>522235.53720000002</v>
      </c>
    </row>
    <row r="53" spans="1:5" x14ac:dyDescent="0.25">
      <c r="A53" s="1" t="s">
        <v>52</v>
      </c>
      <c r="B53" s="1">
        <v>36.36</v>
      </c>
      <c r="C53" s="2">
        <v>66176.05</v>
      </c>
      <c r="D53" s="1">
        <v>0</v>
      </c>
      <c r="E53" s="2">
        <v>0</v>
      </c>
    </row>
    <row r="54" spans="1:5" x14ac:dyDescent="0.25">
      <c r="A54" s="1" t="s">
        <v>53</v>
      </c>
      <c r="B54" s="1">
        <v>0</v>
      </c>
      <c r="C54" s="2">
        <v>0</v>
      </c>
      <c r="D54" s="1">
        <v>40.412737149999998</v>
      </c>
      <c r="E54" s="2">
        <v>75179.596799999999</v>
      </c>
    </row>
    <row r="55" spans="1:5" x14ac:dyDescent="0.25">
      <c r="A55" s="1" t="s">
        <v>54</v>
      </c>
      <c r="B55" s="1">
        <v>2.81</v>
      </c>
      <c r="C55" s="2">
        <v>11124.5</v>
      </c>
      <c r="D55" s="1">
        <v>0</v>
      </c>
      <c r="E55" s="2">
        <v>0</v>
      </c>
    </row>
    <row r="56" spans="1:5" x14ac:dyDescent="0.25">
      <c r="A56" s="1" t="s">
        <v>55</v>
      </c>
      <c r="B56" s="1">
        <v>0</v>
      </c>
      <c r="C56" s="2">
        <v>0</v>
      </c>
      <c r="D56" s="1">
        <v>46.972469072000003</v>
      </c>
      <c r="E56" s="2">
        <v>56472.289999999994</v>
      </c>
    </row>
    <row r="57" spans="1:5" x14ac:dyDescent="0.25">
      <c r="A57" s="1" t="s">
        <v>56</v>
      </c>
      <c r="B57" s="1">
        <v>0</v>
      </c>
      <c r="C57" s="2">
        <v>0</v>
      </c>
      <c r="D57" s="1">
        <v>0.79613525400000007</v>
      </c>
      <c r="E57" s="2">
        <v>1338.8543999999999</v>
      </c>
    </row>
    <row r="58" spans="1:5" x14ac:dyDescent="0.25">
      <c r="A58" s="1" t="s">
        <v>57</v>
      </c>
      <c r="B58" s="1">
        <v>0</v>
      </c>
      <c r="C58" s="2">
        <v>0</v>
      </c>
      <c r="D58" s="1">
        <v>67.414473540000003</v>
      </c>
      <c r="E58" s="2">
        <v>85746.803199999995</v>
      </c>
    </row>
    <row r="59" spans="1:5" x14ac:dyDescent="0.25">
      <c r="A59" s="1" t="s">
        <v>58</v>
      </c>
      <c r="B59" s="1">
        <v>25.187739189999999</v>
      </c>
      <c r="C59" s="2">
        <v>29449.5</v>
      </c>
      <c r="D59" s="1">
        <v>0</v>
      </c>
      <c r="E59" s="2">
        <v>0</v>
      </c>
    </row>
    <row r="60" spans="1:5" x14ac:dyDescent="0.25">
      <c r="A60" s="1" t="s">
        <v>59</v>
      </c>
      <c r="B60" s="1">
        <v>594.61827309100011</v>
      </c>
      <c r="C60" s="2">
        <v>803780.89999999991</v>
      </c>
      <c r="D60" s="1">
        <v>0</v>
      </c>
      <c r="E60" s="2">
        <v>0</v>
      </c>
    </row>
    <row r="61" spans="1:5" x14ac:dyDescent="0.25">
      <c r="A61" s="1" t="s">
        <v>60</v>
      </c>
      <c r="B61" s="1">
        <v>0</v>
      </c>
      <c r="C61" s="2">
        <v>0</v>
      </c>
      <c r="D61" s="1">
        <v>12.339224531999999</v>
      </c>
      <c r="E61" s="2">
        <v>16256.7196</v>
      </c>
    </row>
    <row r="62" spans="1:5" x14ac:dyDescent="0.25">
      <c r="A62" s="1" t="s">
        <v>61</v>
      </c>
      <c r="B62" s="1">
        <v>110.76411315999999</v>
      </c>
      <c r="C62" s="2">
        <v>159591.54999999999</v>
      </c>
      <c r="D62" s="1">
        <v>0</v>
      </c>
      <c r="E62" s="2">
        <v>0</v>
      </c>
    </row>
    <row r="63" spans="1:5" x14ac:dyDescent="0.25">
      <c r="A63" s="1" t="s">
        <v>62</v>
      </c>
      <c r="B63" s="1">
        <v>0</v>
      </c>
      <c r="C63" s="2">
        <v>0</v>
      </c>
      <c r="D63" s="1">
        <v>40.649748614000003</v>
      </c>
      <c r="E63" s="2">
        <v>40103.453577999993</v>
      </c>
    </row>
    <row r="64" spans="1:5" x14ac:dyDescent="0.25">
      <c r="A64" s="1" t="s">
        <v>63</v>
      </c>
      <c r="B64" s="1">
        <v>7.945198789</v>
      </c>
      <c r="C64" s="2">
        <v>10319.85</v>
      </c>
      <c r="D64" s="1">
        <v>0</v>
      </c>
      <c r="E64" s="2">
        <v>0</v>
      </c>
    </row>
    <row r="65" spans="1:5" x14ac:dyDescent="0.25">
      <c r="A65" s="1" t="s">
        <v>64</v>
      </c>
      <c r="B65" s="1">
        <v>0</v>
      </c>
      <c r="C65" s="2">
        <v>0</v>
      </c>
      <c r="D65" s="1">
        <v>24.226361957999998</v>
      </c>
      <c r="E65" s="2">
        <v>26940.591</v>
      </c>
    </row>
    <row r="66" spans="1:5" x14ac:dyDescent="0.25">
      <c r="A66" s="1" t="s">
        <v>65</v>
      </c>
      <c r="B66" s="1">
        <v>17.499665610000001</v>
      </c>
      <c r="C66" s="2">
        <v>31230.5</v>
      </c>
      <c r="D66" s="1">
        <v>0</v>
      </c>
      <c r="E66" s="2">
        <v>0</v>
      </c>
    </row>
    <row r="67" spans="1:5" x14ac:dyDescent="0.25">
      <c r="A67" s="1" t="s">
        <v>66</v>
      </c>
      <c r="B67" s="1">
        <v>0</v>
      </c>
      <c r="C67" s="2">
        <v>0</v>
      </c>
      <c r="D67" s="1">
        <v>12.09096283</v>
      </c>
      <c r="E67" s="2">
        <v>12100.9678</v>
      </c>
    </row>
    <row r="68" spans="1:5" x14ac:dyDescent="0.25">
      <c r="A68" s="1" t="s">
        <v>67</v>
      </c>
      <c r="B68" s="1">
        <v>0</v>
      </c>
      <c r="C68" s="2">
        <v>0</v>
      </c>
      <c r="D68" s="1">
        <v>2.5476950020000002</v>
      </c>
      <c r="E68" s="2">
        <v>6870.1067999999996</v>
      </c>
    </row>
    <row r="69" spans="1:5" x14ac:dyDescent="0.25">
      <c r="A69" s="1" t="s">
        <v>68</v>
      </c>
      <c r="B69" s="1">
        <v>5.72</v>
      </c>
      <c r="C69" s="2">
        <v>9517.9</v>
      </c>
      <c r="D69" s="1">
        <v>1.0356546719999999</v>
      </c>
      <c r="E69" s="2">
        <v>4505.9573999999993</v>
      </c>
    </row>
    <row r="70" spans="1:5" x14ac:dyDescent="0.25">
      <c r="A70" s="1" t="s">
        <v>69</v>
      </c>
      <c r="B70" s="1">
        <v>6.12</v>
      </c>
      <c r="C70" s="2">
        <v>13328.5</v>
      </c>
      <c r="D70" s="1">
        <v>0</v>
      </c>
      <c r="E70" s="2">
        <v>0</v>
      </c>
    </row>
    <row r="71" spans="1:5" x14ac:dyDescent="0.25">
      <c r="A71" s="1" t="s">
        <v>70</v>
      </c>
      <c r="B71" s="1">
        <v>52.709847699999997</v>
      </c>
      <c r="C71" s="2">
        <v>64566.35</v>
      </c>
      <c r="D71" s="1">
        <v>54.112318688999999</v>
      </c>
      <c r="E71" s="2">
        <v>70353.224799999996</v>
      </c>
    </row>
    <row r="72" spans="1:5" x14ac:dyDescent="0.25">
      <c r="A72" s="1" t="s">
        <v>71</v>
      </c>
      <c r="B72" s="1">
        <v>0</v>
      </c>
      <c r="C72" s="2">
        <v>0</v>
      </c>
      <c r="D72" s="1">
        <v>4.4862440430000001</v>
      </c>
      <c r="E72" s="2">
        <v>5430.7133999999996</v>
      </c>
    </row>
    <row r="73" spans="1:5" x14ac:dyDescent="0.25">
      <c r="A73" s="1" t="s">
        <v>72</v>
      </c>
      <c r="B73" s="1">
        <v>0</v>
      </c>
      <c r="C73" s="2">
        <v>0</v>
      </c>
      <c r="D73" s="1">
        <v>8.0857487000000006E-2</v>
      </c>
      <c r="E73" s="2">
        <v>176.43600000000001</v>
      </c>
    </row>
    <row r="74" spans="1:5" x14ac:dyDescent="0.25">
      <c r="A74" s="1" t="s">
        <v>73</v>
      </c>
      <c r="B74" s="1">
        <v>0</v>
      </c>
      <c r="C74" s="2">
        <v>0</v>
      </c>
      <c r="D74" s="1">
        <v>18.516458830000001</v>
      </c>
      <c r="E74" s="2">
        <v>19506.6558</v>
      </c>
    </row>
    <row r="75" spans="1:5" x14ac:dyDescent="0.25">
      <c r="A75" s="1" t="s">
        <v>74</v>
      </c>
      <c r="B75" s="1">
        <v>53.774020462999999</v>
      </c>
      <c r="C75" s="2">
        <v>76946</v>
      </c>
      <c r="D75" s="1">
        <v>13.690307199999999</v>
      </c>
      <c r="E75" s="2">
        <v>13795.931200000001</v>
      </c>
    </row>
    <row r="76" spans="1:5" x14ac:dyDescent="0.25">
      <c r="A76" s="1" t="s">
        <v>75</v>
      </c>
      <c r="B76" s="1">
        <v>197.55</v>
      </c>
      <c r="C76" s="2">
        <v>261938.05</v>
      </c>
      <c r="D76" s="1">
        <v>0</v>
      </c>
      <c r="E76" s="2">
        <v>0</v>
      </c>
    </row>
    <row r="77" spans="1:5" x14ac:dyDescent="0.25">
      <c r="A77" s="1" t="s">
        <v>76</v>
      </c>
      <c r="B77" s="1">
        <v>0</v>
      </c>
      <c r="C77" s="2">
        <v>0</v>
      </c>
      <c r="D77" s="1">
        <v>61.845692100000001</v>
      </c>
      <c r="E77" s="2">
        <v>60201.123200000002</v>
      </c>
    </row>
    <row r="78" spans="1:5" x14ac:dyDescent="0.25">
      <c r="A78" s="1" t="s">
        <v>77</v>
      </c>
      <c r="B78" s="1">
        <v>0</v>
      </c>
      <c r="C78" s="2">
        <v>0</v>
      </c>
      <c r="D78" s="1">
        <v>3.9464673330000002</v>
      </c>
      <c r="E78" s="2">
        <v>4732.8624</v>
      </c>
    </row>
    <row r="79" spans="1:5" x14ac:dyDescent="0.25">
      <c r="A79" s="1" t="s">
        <v>78</v>
      </c>
      <c r="B79" s="1">
        <v>0</v>
      </c>
      <c r="C79" s="2">
        <v>0</v>
      </c>
      <c r="D79" s="1">
        <v>5.5786821189999998</v>
      </c>
      <c r="E79" s="2">
        <v>7931.7204000000011</v>
      </c>
    </row>
    <row r="80" spans="1:5" x14ac:dyDescent="0.25">
      <c r="A80" s="1" t="s">
        <v>79</v>
      </c>
      <c r="B80" s="1">
        <v>4.71</v>
      </c>
      <c r="C80" s="2">
        <v>12976</v>
      </c>
      <c r="D80" s="1">
        <v>0</v>
      </c>
      <c r="E80" s="2">
        <v>0</v>
      </c>
    </row>
    <row r="81" spans="1:5" x14ac:dyDescent="0.25">
      <c r="A81" s="1" t="s">
        <v>80</v>
      </c>
      <c r="B81" s="1">
        <v>0</v>
      </c>
      <c r="C81" s="2">
        <v>0</v>
      </c>
      <c r="D81" s="1">
        <v>5.5407987209999998</v>
      </c>
      <c r="E81" s="2">
        <v>8033.5023999999994</v>
      </c>
    </row>
    <row r="82" spans="1:5" x14ac:dyDescent="0.25">
      <c r="A82" s="1" t="s">
        <v>81</v>
      </c>
      <c r="B82" s="1">
        <v>0</v>
      </c>
      <c r="C82" s="2">
        <v>0</v>
      </c>
      <c r="D82" s="1">
        <v>8.1283372629999988</v>
      </c>
      <c r="E82" s="2">
        <v>11262.832</v>
      </c>
    </row>
    <row r="83" spans="1:5" x14ac:dyDescent="0.25">
      <c r="A83" s="1" t="s">
        <v>82</v>
      </c>
      <c r="B83" s="1">
        <v>51.76853461200001</v>
      </c>
      <c r="C83" s="2">
        <v>118856.13</v>
      </c>
      <c r="D83" s="1">
        <v>33.916410633999988</v>
      </c>
      <c r="E83" s="2">
        <v>56954.996400000004</v>
      </c>
    </row>
    <row r="84" spans="1:5" x14ac:dyDescent="0.25">
      <c r="A84" s="1" t="s">
        <v>83</v>
      </c>
      <c r="B84" s="1">
        <v>0.86</v>
      </c>
      <c r="C84" s="2">
        <v>0.46</v>
      </c>
      <c r="D84" s="1">
        <v>0</v>
      </c>
      <c r="E84" s="2">
        <v>0</v>
      </c>
    </row>
    <row r="85" spans="1:5" x14ac:dyDescent="0.25">
      <c r="A85" s="1" t="s">
        <v>84</v>
      </c>
      <c r="B85" s="1">
        <v>0</v>
      </c>
      <c r="C85" s="2">
        <v>0</v>
      </c>
      <c r="D85" s="1">
        <v>1.199658852</v>
      </c>
      <c r="E85" s="2">
        <v>1229.655</v>
      </c>
    </row>
    <row r="86" spans="1:5" x14ac:dyDescent="0.25">
      <c r="A86" s="1" t="s">
        <v>85</v>
      </c>
      <c r="B86" s="1">
        <v>0</v>
      </c>
      <c r="C86" s="2">
        <v>0</v>
      </c>
      <c r="D86" s="1">
        <v>45.229269363</v>
      </c>
      <c r="E86" s="2">
        <v>54618.15</v>
      </c>
    </row>
    <row r="87" spans="1:5" x14ac:dyDescent="0.25">
      <c r="A87" s="1" t="s">
        <v>86</v>
      </c>
      <c r="B87" s="1">
        <v>0</v>
      </c>
      <c r="C87" s="2">
        <v>0</v>
      </c>
      <c r="D87" s="1">
        <v>61.431353469999998</v>
      </c>
      <c r="E87" s="2">
        <v>78018.061799999996</v>
      </c>
    </row>
    <row r="88" spans="1:5" x14ac:dyDescent="0.25">
      <c r="A88" s="1" t="s">
        <v>87</v>
      </c>
      <c r="B88" s="1">
        <v>0</v>
      </c>
      <c r="C88" s="2">
        <v>0</v>
      </c>
      <c r="D88" s="1">
        <v>9464.2389426099944</v>
      </c>
      <c r="E88" s="2">
        <v>10924470.787100989</v>
      </c>
    </row>
    <row r="89" spans="1:5" x14ac:dyDescent="0.25">
      <c r="A89" s="1" t="s">
        <v>88</v>
      </c>
      <c r="B89" s="1">
        <v>1034.89650938</v>
      </c>
      <c r="C89" s="2">
        <v>1196615.45</v>
      </c>
      <c r="D89" s="1">
        <v>0</v>
      </c>
      <c r="E89" s="2">
        <v>0</v>
      </c>
    </row>
    <row r="90" spans="1:5" x14ac:dyDescent="0.25">
      <c r="A90" s="1" t="s">
        <v>89</v>
      </c>
      <c r="B90" s="1">
        <v>2.5099999999999998</v>
      </c>
      <c r="C90" s="2">
        <v>3423.95</v>
      </c>
      <c r="D90" s="1">
        <v>0</v>
      </c>
      <c r="E90" s="2">
        <v>0</v>
      </c>
    </row>
    <row r="91" spans="1:5" x14ac:dyDescent="0.25">
      <c r="A91" s="1" t="s">
        <v>90</v>
      </c>
      <c r="B91" s="1">
        <v>0</v>
      </c>
      <c r="C91" s="2">
        <v>0</v>
      </c>
      <c r="D91" s="1">
        <v>39.952086113999997</v>
      </c>
      <c r="E91" s="2">
        <v>49939.473000000013</v>
      </c>
    </row>
    <row r="92" spans="1:5" x14ac:dyDescent="0.25">
      <c r="A92" s="1" t="s">
        <v>91</v>
      </c>
      <c r="B92" s="1">
        <v>206.3916151</v>
      </c>
      <c r="C92" s="2">
        <v>228568.8</v>
      </c>
      <c r="D92" s="1">
        <v>84.17429654</v>
      </c>
      <c r="E92" s="2">
        <v>88447</v>
      </c>
    </row>
    <row r="93" spans="1:5" x14ac:dyDescent="0.25">
      <c r="A93" s="1" t="s">
        <v>92</v>
      </c>
      <c r="B93" s="1">
        <v>0</v>
      </c>
      <c r="C93" s="2">
        <v>0</v>
      </c>
      <c r="D93" s="1">
        <v>4.0696152840000002</v>
      </c>
      <c r="E93" s="2">
        <v>5155.92</v>
      </c>
    </row>
    <row r="94" spans="1:5" x14ac:dyDescent="0.25">
      <c r="A94" s="1" t="s">
        <v>93</v>
      </c>
      <c r="B94" s="1">
        <v>12975.901424174001</v>
      </c>
      <c r="C94" s="2">
        <v>17647462.969999999</v>
      </c>
      <c r="D94" s="1">
        <v>0</v>
      </c>
      <c r="E94" s="2">
        <v>0</v>
      </c>
    </row>
    <row r="95" spans="1:5" x14ac:dyDescent="0.25">
      <c r="A95" s="1" t="s">
        <v>94</v>
      </c>
      <c r="B95" s="1">
        <v>4223.9711380999997</v>
      </c>
      <c r="C95" s="2">
        <v>5345060.45</v>
      </c>
      <c r="D95" s="1">
        <v>0</v>
      </c>
      <c r="E95" s="2">
        <v>0</v>
      </c>
    </row>
    <row r="96" spans="1:5" x14ac:dyDescent="0.25">
      <c r="A96" s="1" t="s">
        <v>95</v>
      </c>
      <c r="B96" s="1">
        <v>0</v>
      </c>
      <c r="C96" s="2">
        <v>0</v>
      </c>
      <c r="D96" s="1">
        <v>13.379863422</v>
      </c>
      <c r="E96" s="2">
        <v>14546.712</v>
      </c>
    </row>
    <row r="97" spans="1:5" x14ac:dyDescent="0.25">
      <c r="A97" s="1" t="s">
        <v>96</v>
      </c>
      <c r="B97" s="1">
        <v>0</v>
      </c>
      <c r="C97" s="2">
        <v>0</v>
      </c>
      <c r="D97" s="1">
        <v>131.255889798</v>
      </c>
      <c r="E97" s="2">
        <v>181800.7205</v>
      </c>
    </row>
    <row r="98" spans="1:5" x14ac:dyDescent="0.25">
      <c r="A98" s="1" t="s">
        <v>97</v>
      </c>
      <c r="B98" s="1">
        <v>51.176928169</v>
      </c>
      <c r="C98" s="2">
        <v>72101.300000000017</v>
      </c>
      <c r="D98" s="1">
        <v>18.834328880000001</v>
      </c>
      <c r="E98" s="2">
        <v>18172.809300000001</v>
      </c>
    </row>
    <row r="99" spans="1:5" x14ac:dyDescent="0.25">
      <c r="A99" s="1" t="s">
        <v>98</v>
      </c>
      <c r="B99" s="1">
        <v>0</v>
      </c>
      <c r="C99" s="2">
        <v>0</v>
      </c>
      <c r="D99" s="1">
        <v>7.5722847010000001</v>
      </c>
      <c r="E99" s="2">
        <v>9070.9953000000005</v>
      </c>
    </row>
    <row r="100" spans="1:5" x14ac:dyDescent="0.25">
      <c r="A100" s="1" t="s">
        <v>99</v>
      </c>
      <c r="B100" s="1">
        <v>521.23858710500008</v>
      </c>
      <c r="C100" s="2">
        <v>721470.1</v>
      </c>
      <c r="D100" s="1">
        <v>0</v>
      </c>
      <c r="E100" s="2">
        <v>0</v>
      </c>
    </row>
    <row r="101" spans="1:5" x14ac:dyDescent="0.25">
      <c r="A101" s="1" t="s">
        <v>100</v>
      </c>
      <c r="B101" s="1">
        <v>2786.3611578099999</v>
      </c>
      <c r="C101" s="2">
        <v>3634170.15</v>
      </c>
      <c r="D101" s="1">
        <v>0</v>
      </c>
      <c r="E101" s="2">
        <v>0</v>
      </c>
    </row>
    <row r="102" spans="1:5" x14ac:dyDescent="0.25">
      <c r="A102" s="1" t="s">
        <v>101</v>
      </c>
      <c r="B102" s="1">
        <v>0.22907364399999999</v>
      </c>
      <c r="C102" s="2">
        <v>686.8</v>
      </c>
      <c r="D102" s="1">
        <v>0</v>
      </c>
      <c r="E102" s="2">
        <v>0</v>
      </c>
    </row>
    <row r="103" spans="1:5" x14ac:dyDescent="0.25">
      <c r="A103" s="1" t="s">
        <v>102</v>
      </c>
      <c r="B103" s="1">
        <v>5.45</v>
      </c>
      <c r="C103" s="2">
        <v>14979</v>
      </c>
      <c r="D103" s="1">
        <v>0</v>
      </c>
      <c r="E103" s="2">
        <v>0</v>
      </c>
    </row>
    <row r="104" spans="1:5" x14ac:dyDescent="0.25">
      <c r="A104" s="1" t="s">
        <v>103</v>
      </c>
      <c r="B104" s="1">
        <v>31.3011573</v>
      </c>
      <c r="C104" s="2">
        <v>45082.65</v>
      </c>
      <c r="D104" s="1">
        <v>0</v>
      </c>
      <c r="E104" s="2">
        <v>0</v>
      </c>
    </row>
    <row r="105" spans="1:5" x14ac:dyDescent="0.25">
      <c r="A105" s="1" t="s">
        <v>104</v>
      </c>
      <c r="B105" s="1">
        <v>176.725095541</v>
      </c>
      <c r="C105" s="2">
        <v>251306.75</v>
      </c>
      <c r="D105" s="1">
        <v>55.084706995999987</v>
      </c>
      <c r="E105" s="2">
        <v>66211.33600000001</v>
      </c>
    </row>
    <row r="106" spans="1:5" x14ac:dyDescent="0.25">
      <c r="A106" s="1" t="s">
        <v>105</v>
      </c>
      <c r="B106" s="1">
        <v>176.37168235999999</v>
      </c>
      <c r="C106" s="2">
        <v>278729.84999999998</v>
      </c>
      <c r="D106" s="1">
        <v>0</v>
      </c>
      <c r="E106" s="2">
        <v>0</v>
      </c>
    </row>
    <row r="107" spans="1:5" x14ac:dyDescent="0.25">
      <c r="A107" s="1" t="s">
        <v>106</v>
      </c>
      <c r="B107" s="1">
        <v>1.84</v>
      </c>
      <c r="C107" s="2">
        <v>12228.75</v>
      </c>
      <c r="D107" s="1">
        <v>0</v>
      </c>
      <c r="E107" s="2">
        <v>0</v>
      </c>
    </row>
    <row r="108" spans="1:5" x14ac:dyDescent="0.25">
      <c r="A108" s="1" t="s">
        <v>107</v>
      </c>
      <c r="B108" s="1">
        <v>93.741262039999995</v>
      </c>
      <c r="C108" s="2">
        <v>119654</v>
      </c>
      <c r="D108" s="1">
        <v>0</v>
      </c>
      <c r="E108" s="2">
        <v>0</v>
      </c>
    </row>
    <row r="109" spans="1:5" x14ac:dyDescent="0.25">
      <c r="A109" s="1" t="s">
        <v>108</v>
      </c>
      <c r="B109" s="1">
        <v>0</v>
      </c>
      <c r="C109" s="2">
        <v>0</v>
      </c>
      <c r="D109" s="1">
        <v>2.9970236450000001</v>
      </c>
      <c r="E109" s="2">
        <v>4728.1548000000003</v>
      </c>
    </row>
    <row r="110" spans="1:5" x14ac:dyDescent="0.25">
      <c r="A110" s="1" t="s">
        <v>109</v>
      </c>
      <c r="B110" s="1">
        <v>5.69</v>
      </c>
      <c r="C110" s="2">
        <v>7787.75</v>
      </c>
      <c r="D110" s="1">
        <v>0</v>
      </c>
      <c r="E110" s="2">
        <v>0</v>
      </c>
    </row>
    <row r="111" spans="1:5" x14ac:dyDescent="0.25">
      <c r="A111" s="1" t="s">
        <v>110</v>
      </c>
      <c r="B111" s="1">
        <v>5.1731254270000004</v>
      </c>
      <c r="C111" s="2">
        <v>6676.2</v>
      </c>
      <c r="D111" s="1">
        <v>5.1026034440000014</v>
      </c>
      <c r="E111" s="2">
        <v>7714.3192000000008</v>
      </c>
    </row>
    <row r="112" spans="1:5" x14ac:dyDescent="0.25">
      <c r="A112" s="1" t="s">
        <v>111</v>
      </c>
      <c r="B112" s="1">
        <v>0</v>
      </c>
      <c r="C112" s="2">
        <v>0</v>
      </c>
      <c r="D112" s="1">
        <v>1.139491979</v>
      </c>
      <c r="E112" s="2">
        <v>3040.0776000000001</v>
      </c>
    </row>
    <row r="113" spans="1:5" x14ac:dyDescent="0.25">
      <c r="A113" s="1" t="s">
        <v>112</v>
      </c>
      <c r="B113" s="1">
        <v>1.52</v>
      </c>
      <c r="C113" s="2">
        <v>4093.3</v>
      </c>
      <c r="D113" s="1">
        <v>0.72113855299999996</v>
      </c>
      <c r="E113" s="2">
        <v>3887.8474999999999</v>
      </c>
    </row>
    <row r="114" spans="1:5" x14ac:dyDescent="0.25">
      <c r="A114" s="1" t="s">
        <v>113</v>
      </c>
      <c r="B114" s="1">
        <v>0</v>
      </c>
      <c r="C114" s="2">
        <v>0</v>
      </c>
      <c r="D114" s="1">
        <v>1.3599142040000001</v>
      </c>
      <c r="E114" s="2">
        <v>0</v>
      </c>
    </row>
    <row r="115" spans="1:5" x14ac:dyDescent="0.25">
      <c r="A115" s="1" t="s">
        <v>114</v>
      </c>
      <c r="B115" s="1">
        <v>5.6716452239999997</v>
      </c>
      <c r="C115" s="2">
        <v>8206.15</v>
      </c>
      <c r="D115" s="1">
        <v>0</v>
      </c>
      <c r="E115" s="2">
        <v>0</v>
      </c>
    </row>
    <row r="116" spans="1:5" x14ac:dyDescent="0.25">
      <c r="A116" s="1" t="s">
        <v>115</v>
      </c>
      <c r="B116" s="1">
        <v>10.563667410000001</v>
      </c>
      <c r="C116" s="2">
        <v>14946.1</v>
      </c>
      <c r="D116" s="1">
        <v>47.906616681000003</v>
      </c>
      <c r="E116" s="2">
        <v>39736.353799999997</v>
      </c>
    </row>
    <row r="117" spans="1:5" x14ac:dyDescent="0.25">
      <c r="A117" s="1" t="s">
        <v>116</v>
      </c>
      <c r="B117" s="1">
        <v>40.74077003</v>
      </c>
      <c r="C117" s="2">
        <v>57060</v>
      </c>
      <c r="D117" s="1">
        <v>147.16274960199999</v>
      </c>
      <c r="E117" s="2">
        <v>134287.08619999999</v>
      </c>
    </row>
    <row r="118" spans="1:5" x14ac:dyDescent="0.25">
      <c r="A118" s="1" t="s">
        <v>117</v>
      </c>
      <c r="B118" s="1">
        <v>0</v>
      </c>
      <c r="C118" s="2">
        <v>0</v>
      </c>
      <c r="D118" s="1">
        <v>5.5864372650000007</v>
      </c>
      <c r="E118" s="2">
        <v>6757.17</v>
      </c>
    </row>
    <row r="119" spans="1:5" x14ac:dyDescent="0.25">
      <c r="A119" s="1" t="s">
        <v>118</v>
      </c>
      <c r="B119" s="1">
        <v>9.23</v>
      </c>
      <c r="C119" s="2">
        <v>17726.25</v>
      </c>
      <c r="D119" s="1">
        <v>0.50278589200000001</v>
      </c>
      <c r="E119" s="2">
        <v>994.2944</v>
      </c>
    </row>
    <row r="120" spans="1:5" x14ac:dyDescent="0.25">
      <c r="A120" s="1" t="s">
        <v>119</v>
      </c>
      <c r="B120" s="1">
        <v>35.54</v>
      </c>
      <c r="C120" s="2">
        <v>64039.5</v>
      </c>
      <c r="D120" s="1">
        <v>33.920818722</v>
      </c>
      <c r="E120" s="2">
        <v>61265.648999999998</v>
      </c>
    </row>
    <row r="121" spans="1:5" x14ac:dyDescent="0.25">
      <c r="A121" s="1" t="s">
        <v>120</v>
      </c>
      <c r="B121" s="1">
        <v>0</v>
      </c>
      <c r="C121" s="2">
        <v>0</v>
      </c>
      <c r="D121" s="1">
        <v>0.93720007400000005</v>
      </c>
      <c r="E121" s="2">
        <v>1860.0744</v>
      </c>
    </row>
    <row r="122" spans="1:5" x14ac:dyDescent="0.25">
      <c r="A122" s="1" t="s">
        <v>121</v>
      </c>
      <c r="B122" s="1">
        <v>2.0651472150000001</v>
      </c>
      <c r="C122" s="2">
        <v>5260.25</v>
      </c>
      <c r="D122" s="1">
        <v>0</v>
      </c>
      <c r="E122" s="2">
        <v>0</v>
      </c>
    </row>
    <row r="123" spans="1:5" x14ac:dyDescent="0.25">
      <c r="A123" s="1" t="s">
        <v>122</v>
      </c>
      <c r="B123" s="1">
        <v>1468.0722405910001</v>
      </c>
      <c r="C123" s="2">
        <v>2218642.4</v>
      </c>
      <c r="D123" s="1">
        <v>0</v>
      </c>
      <c r="E123" s="2">
        <v>0</v>
      </c>
    </row>
    <row r="124" spans="1:5" x14ac:dyDescent="0.25">
      <c r="A124" s="1" t="s">
        <v>123</v>
      </c>
      <c r="B124" s="1">
        <v>2431.8460843749999</v>
      </c>
      <c r="C124" s="2">
        <v>3104717.7100000009</v>
      </c>
      <c r="D124" s="1">
        <v>659.31450896800004</v>
      </c>
      <c r="E124" s="2">
        <v>830438.90689999983</v>
      </c>
    </row>
    <row r="125" spans="1:5" x14ac:dyDescent="0.25">
      <c r="A125" s="1" t="s">
        <v>124</v>
      </c>
      <c r="B125" s="1">
        <v>60.742662129999999</v>
      </c>
      <c r="C125" s="2">
        <v>91334.35</v>
      </c>
      <c r="D125" s="1">
        <v>0</v>
      </c>
      <c r="E125" s="2">
        <v>0</v>
      </c>
    </row>
    <row r="126" spans="1:5" x14ac:dyDescent="0.25">
      <c r="A126" s="1" t="s">
        <v>125</v>
      </c>
      <c r="B126" s="1">
        <v>0</v>
      </c>
      <c r="C126" s="2">
        <v>0</v>
      </c>
      <c r="D126" s="1">
        <v>6.8657026119999998</v>
      </c>
      <c r="E126" s="2">
        <v>6415.5900000000011</v>
      </c>
    </row>
    <row r="127" spans="1:5" x14ac:dyDescent="0.25">
      <c r="A127" s="1" t="s">
        <v>126</v>
      </c>
      <c r="B127" s="1">
        <v>0</v>
      </c>
      <c r="C127" s="2">
        <v>0</v>
      </c>
      <c r="D127" s="1">
        <v>17.401726763999999</v>
      </c>
      <c r="E127" s="2">
        <v>19177.894400000001</v>
      </c>
    </row>
    <row r="128" spans="1:5" x14ac:dyDescent="0.25">
      <c r="A128" s="1" t="s">
        <v>127</v>
      </c>
      <c r="B128" s="1">
        <v>62.56</v>
      </c>
      <c r="C128" s="2">
        <v>65536.649999999994</v>
      </c>
      <c r="D128" s="1">
        <v>0</v>
      </c>
      <c r="E128" s="2">
        <v>0</v>
      </c>
    </row>
    <row r="129" spans="1:5" x14ac:dyDescent="0.25">
      <c r="A129" s="1" t="s">
        <v>128</v>
      </c>
      <c r="B129" s="1">
        <v>13.67163467</v>
      </c>
      <c r="C129" s="2">
        <v>20504.7</v>
      </c>
      <c r="D129" s="1">
        <v>0</v>
      </c>
      <c r="E129" s="2">
        <v>0</v>
      </c>
    </row>
    <row r="130" spans="1:5" x14ac:dyDescent="0.25">
      <c r="A130" s="1" t="s">
        <v>129</v>
      </c>
      <c r="B130" s="1">
        <v>50.287629549999998</v>
      </c>
      <c r="C130" s="2">
        <v>66405.25</v>
      </c>
      <c r="D130" s="1">
        <v>0</v>
      </c>
      <c r="E130" s="2">
        <v>0</v>
      </c>
    </row>
    <row r="131" spans="1:5" x14ac:dyDescent="0.25">
      <c r="A131" s="1" t="s">
        <v>130</v>
      </c>
      <c r="B131" s="1">
        <v>1443.7125619999999</v>
      </c>
      <c r="C131" s="2">
        <v>1570058.21</v>
      </c>
      <c r="D131" s="1">
        <v>0</v>
      </c>
      <c r="E131" s="2">
        <v>0</v>
      </c>
    </row>
    <row r="132" spans="1:5" x14ac:dyDescent="0.25">
      <c r="A132" s="1" t="s">
        <v>131</v>
      </c>
      <c r="B132" s="1">
        <v>168.44946945999999</v>
      </c>
      <c r="C132" s="2">
        <v>233314.95</v>
      </c>
      <c r="D132" s="1">
        <v>0</v>
      </c>
      <c r="E132" s="2">
        <v>0</v>
      </c>
    </row>
    <row r="133" spans="1:5" x14ac:dyDescent="0.25">
      <c r="A133" s="1" t="s">
        <v>132</v>
      </c>
      <c r="B133" s="1">
        <v>1044.166100162</v>
      </c>
      <c r="C133" s="2">
        <v>1230382.8999999999</v>
      </c>
      <c r="D133" s="1">
        <v>635.21003158899998</v>
      </c>
      <c r="E133" s="2">
        <v>732186.77370000025</v>
      </c>
    </row>
    <row r="134" spans="1:5" x14ac:dyDescent="0.25">
      <c r="A134" s="1" t="s">
        <v>133</v>
      </c>
      <c r="B134" s="1">
        <v>0</v>
      </c>
      <c r="C134" s="2">
        <v>0</v>
      </c>
      <c r="D134" s="1">
        <v>2.5915868629999999</v>
      </c>
      <c r="E134" s="2">
        <v>4779.25</v>
      </c>
    </row>
    <row r="135" spans="1:5" x14ac:dyDescent="0.25">
      <c r="A135" s="1" t="s">
        <v>134</v>
      </c>
      <c r="B135" s="1">
        <v>2.4300000000000002</v>
      </c>
      <c r="C135" s="2">
        <v>3799.25</v>
      </c>
      <c r="D135" s="1">
        <v>0</v>
      </c>
      <c r="E135" s="2">
        <v>0</v>
      </c>
    </row>
    <row r="136" spans="1:5" x14ac:dyDescent="0.25">
      <c r="A136" s="1" t="s">
        <v>135</v>
      </c>
      <c r="B136" s="1">
        <v>1109.38708655</v>
      </c>
      <c r="C136" s="2">
        <v>1613706.45</v>
      </c>
      <c r="D136" s="1">
        <v>0</v>
      </c>
      <c r="E136" s="2">
        <v>0</v>
      </c>
    </row>
    <row r="137" spans="1:5" x14ac:dyDescent="0.25">
      <c r="A137" s="1" t="s">
        <v>136</v>
      </c>
      <c r="B137" s="1">
        <v>9.2134991589999995</v>
      </c>
      <c r="C137" s="2">
        <v>15378</v>
      </c>
      <c r="D137" s="1">
        <v>12.877526656000001</v>
      </c>
      <c r="E137" s="2">
        <v>13608.527599999999</v>
      </c>
    </row>
    <row r="138" spans="1:5" x14ac:dyDescent="0.25">
      <c r="A138" s="1" t="s">
        <v>137</v>
      </c>
      <c r="B138" s="1">
        <v>0</v>
      </c>
      <c r="C138" s="2">
        <v>0</v>
      </c>
      <c r="D138" s="1">
        <v>7.9058088949999998</v>
      </c>
      <c r="E138" s="2">
        <v>7536.15</v>
      </c>
    </row>
    <row r="139" spans="1:5" x14ac:dyDescent="0.25">
      <c r="A139" s="1" t="s">
        <v>138</v>
      </c>
      <c r="B139" s="1">
        <v>18.454684669999999</v>
      </c>
      <c r="C139" s="2">
        <v>23204</v>
      </c>
      <c r="D139" s="1">
        <v>0</v>
      </c>
      <c r="E139" s="2">
        <v>0</v>
      </c>
    </row>
    <row r="140" spans="1:5" x14ac:dyDescent="0.25">
      <c r="A140" s="1" t="s">
        <v>139</v>
      </c>
      <c r="B140" s="1">
        <v>96.195744270000006</v>
      </c>
      <c r="C140" s="2">
        <v>157537.47</v>
      </c>
      <c r="D140" s="1">
        <v>19.824125359</v>
      </c>
      <c r="E140" s="2">
        <v>27366.845700000002</v>
      </c>
    </row>
    <row r="141" spans="1:5" x14ac:dyDescent="0.25">
      <c r="A141" s="1" t="s">
        <v>140</v>
      </c>
      <c r="B141" s="1">
        <v>0</v>
      </c>
      <c r="C141" s="2">
        <v>0</v>
      </c>
      <c r="D141" s="1">
        <v>21.743407489999999</v>
      </c>
      <c r="E141" s="2">
        <v>23766.772499999999</v>
      </c>
    </row>
    <row r="142" spans="1:5" x14ac:dyDescent="0.25">
      <c r="A142" s="1" t="s">
        <v>141</v>
      </c>
      <c r="B142" s="1">
        <v>12.45</v>
      </c>
      <c r="C142" s="2">
        <v>20711.48</v>
      </c>
      <c r="D142" s="1">
        <v>7.7944362070000004</v>
      </c>
      <c r="E142" s="2">
        <v>13452.8163</v>
      </c>
    </row>
    <row r="143" spans="1:5" x14ac:dyDescent="0.25">
      <c r="A143" s="1" t="s">
        <v>142</v>
      </c>
      <c r="B143" s="1">
        <v>7.2</v>
      </c>
      <c r="C143" s="2">
        <v>13197</v>
      </c>
      <c r="D143" s="1">
        <v>7.0631314840000003</v>
      </c>
      <c r="E143" s="2">
        <v>7305.75</v>
      </c>
    </row>
    <row r="144" spans="1:5" x14ac:dyDescent="0.25">
      <c r="A144" s="1" t="s">
        <v>143</v>
      </c>
      <c r="B144" s="1">
        <v>42.899536130000001</v>
      </c>
      <c r="C144" s="2">
        <v>55659.5</v>
      </c>
      <c r="D144" s="1">
        <v>119.65863038000001</v>
      </c>
      <c r="E144" s="2">
        <v>127275.76</v>
      </c>
    </row>
    <row r="145" spans="1:5" x14ac:dyDescent="0.25">
      <c r="A145" s="1" t="s">
        <v>144</v>
      </c>
      <c r="B145" s="1">
        <v>0.16</v>
      </c>
      <c r="C145" s="2">
        <v>383.51</v>
      </c>
      <c r="D145" s="1">
        <v>0</v>
      </c>
      <c r="E145" s="2">
        <v>0</v>
      </c>
    </row>
    <row r="146" spans="1:5" x14ac:dyDescent="0.25">
      <c r="A146" s="1" t="s">
        <v>145</v>
      </c>
      <c r="B146" s="1">
        <v>1.226098299</v>
      </c>
      <c r="C146" s="2">
        <v>1997</v>
      </c>
      <c r="D146" s="1">
        <v>0</v>
      </c>
      <c r="E146" s="2">
        <v>0</v>
      </c>
    </row>
    <row r="147" spans="1:5" x14ac:dyDescent="0.25">
      <c r="A147" s="1" t="s">
        <v>147</v>
      </c>
      <c r="B147" s="1">
        <v>0</v>
      </c>
      <c r="C147" s="2">
        <v>0</v>
      </c>
      <c r="D147" s="1">
        <v>129.85907369</v>
      </c>
      <c r="E147" s="2">
        <v>137011.79999999999</v>
      </c>
    </row>
    <row r="148" spans="1:5" x14ac:dyDescent="0.25">
      <c r="A148" s="1" t="s">
        <v>146</v>
      </c>
      <c r="B148" s="1">
        <v>507.17772965799998</v>
      </c>
      <c r="C148" s="2">
        <v>782540.05</v>
      </c>
      <c r="D148" s="1">
        <v>127.936185913</v>
      </c>
      <c r="E148" s="2">
        <v>112739.551503</v>
      </c>
    </row>
    <row r="149" spans="1:5" x14ac:dyDescent="0.25">
      <c r="A149" s="1" t="s">
        <v>148</v>
      </c>
      <c r="B149" s="1">
        <v>0</v>
      </c>
      <c r="C149" s="2">
        <v>0</v>
      </c>
      <c r="D149" s="1">
        <v>1.4551572930000001</v>
      </c>
      <c r="E149" s="2">
        <v>2723.3231999999998</v>
      </c>
    </row>
    <row r="150" spans="1:5" x14ac:dyDescent="0.25">
      <c r="A150" s="1" t="s">
        <v>149</v>
      </c>
      <c r="B150" s="1">
        <v>0</v>
      </c>
      <c r="C150" s="2">
        <v>0</v>
      </c>
      <c r="D150" s="1">
        <v>16.415195430000001</v>
      </c>
      <c r="E150" s="2">
        <v>19115.361199999999</v>
      </c>
    </row>
    <row r="151" spans="1:5" x14ac:dyDescent="0.25">
      <c r="A151" s="1" t="s">
        <v>150</v>
      </c>
      <c r="B151" s="1">
        <v>8.24</v>
      </c>
      <c r="C151" s="2">
        <v>10643.25</v>
      </c>
      <c r="D151" s="1">
        <v>86.147288527000001</v>
      </c>
      <c r="E151" s="2">
        <v>90701.408800000005</v>
      </c>
    </row>
    <row r="152" spans="1:5" x14ac:dyDescent="0.25">
      <c r="A152" s="1" t="s">
        <v>151</v>
      </c>
      <c r="B152" s="1">
        <v>106.2068956</v>
      </c>
      <c r="C152" s="2">
        <v>175383.7</v>
      </c>
      <c r="D152" s="1">
        <v>0</v>
      </c>
      <c r="E152" s="2">
        <v>0</v>
      </c>
    </row>
    <row r="153" spans="1:5" x14ac:dyDescent="0.25">
      <c r="A153" s="1" t="s">
        <v>152</v>
      </c>
      <c r="B153" s="1">
        <v>4.8899999999999997</v>
      </c>
      <c r="C153" s="2">
        <v>12461.4</v>
      </c>
      <c r="D153" s="1">
        <v>0</v>
      </c>
      <c r="E153" s="2">
        <v>0</v>
      </c>
    </row>
    <row r="154" spans="1:5" x14ac:dyDescent="0.25">
      <c r="A154" s="1" t="s">
        <v>153</v>
      </c>
      <c r="B154" s="1">
        <v>0</v>
      </c>
      <c r="C154" s="2">
        <v>0</v>
      </c>
      <c r="D154" s="1">
        <v>2.2746669580000001</v>
      </c>
      <c r="E154" s="2">
        <v>4607.3455000000004</v>
      </c>
    </row>
    <row r="155" spans="1:5" x14ac:dyDescent="0.25">
      <c r="A155" s="1" t="s">
        <v>154</v>
      </c>
      <c r="B155" s="1">
        <v>0</v>
      </c>
      <c r="C155" s="2">
        <v>0</v>
      </c>
      <c r="D155" s="1">
        <v>7.2979064939999994</v>
      </c>
      <c r="E155" s="2">
        <v>9445.5679999999993</v>
      </c>
    </row>
    <row r="156" spans="1:5" x14ac:dyDescent="0.25">
      <c r="A156" s="1" t="s">
        <v>155</v>
      </c>
      <c r="B156" s="1">
        <v>8.0180498769999993</v>
      </c>
      <c r="C156" s="2">
        <v>17009.5</v>
      </c>
      <c r="D156" s="1">
        <v>5.1549094389999999</v>
      </c>
      <c r="E156" s="2">
        <v>11615.625</v>
      </c>
    </row>
    <row r="157" spans="1:5" x14ac:dyDescent="0.25">
      <c r="A157" s="1" t="s">
        <v>156</v>
      </c>
      <c r="B157" s="1">
        <v>0</v>
      </c>
      <c r="C157" s="2">
        <v>0</v>
      </c>
      <c r="D157" s="1">
        <v>157.64401057000001</v>
      </c>
      <c r="E157" s="2">
        <v>166394.19769999999</v>
      </c>
    </row>
    <row r="158" spans="1:5" x14ac:dyDescent="0.25">
      <c r="A158" s="1" t="s">
        <v>161</v>
      </c>
      <c r="B158" s="1">
        <f>SUBTOTAL(109,Table1[Column2])</f>
        <v>40789.747578635986</v>
      </c>
      <c r="C158" s="2">
        <f>SUBTOTAL(109,Table1[Column3])</f>
        <v>54340493.670000002</v>
      </c>
      <c r="D158" s="1">
        <f>SUBTOTAL(109,Table1[Column4])</f>
        <v>15547.322732043993</v>
      </c>
      <c r="E158" s="2">
        <f>SUBTOTAL(109,Table1[Column5])</f>
        <v>17570900.993693989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4"/>
  <sheetViews>
    <sheetView workbookViewId="0"/>
  </sheetViews>
  <sheetFormatPr defaultRowHeight="15" x14ac:dyDescent="0.25"/>
  <cols>
    <col min="1" max="1" width="32.855468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22</v>
      </c>
      <c r="B2" s="1">
        <v>36.251023889999999</v>
      </c>
      <c r="C2" s="2">
        <v>56491.5</v>
      </c>
      <c r="D2" s="1">
        <v>0</v>
      </c>
      <c r="E2" s="2">
        <v>0</v>
      </c>
    </row>
    <row r="3" spans="1:5" x14ac:dyDescent="0.25">
      <c r="A3" s="1" t="s">
        <v>29</v>
      </c>
      <c r="B3" s="1">
        <v>40.871481879999997</v>
      </c>
      <c r="C3" s="2">
        <v>76361.5</v>
      </c>
      <c r="D3" s="1">
        <v>0</v>
      </c>
      <c r="E3" s="2">
        <v>0</v>
      </c>
    </row>
    <row r="4" spans="1:5" x14ac:dyDescent="0.25">
      <c r="A4" s="1" t="s">
        <v>52</v>
      </c>
      <c r="B4" s="1">
        <v>36.36</v>
      </c>
      <c r="C4" s="2">
        <v>66176.05</v>
      </c>
      <c r="D4" s="1">
        <v>0</v>
      </c>
      <c r="E4" s="2">
        <v>0</v>
      </c>
    </row>
    <row r="5" spans="1:5" x14ac:dyDescent="0.25">
      <c r="A5" s="1" t="s">
        <v>61</v>
      </c>
      <c r="B5" s="1">
        <v>110.76411315999999</v>
      </c>
      <c r="C5" s="2">
        <v>159591.54999999999</v>
      </c>
      <c r="D5" s="1">
        <v>0</v>
      </c>
      <c r="E5" s="2">
        <v>0</v>
      </c>
    </row>
    <row r="6" spans="1:5" x14ac:dyDescent="0.25">
      <c r="A6" s="1" t="s">
        <v>65</v>
      </c>
      <c r="B6" s="1">
        <v>17.499665610000001</v>
      </c>
      <c r="C6" s="2">
        <v>31230.5</v>
      </c>
      <c r="D6" s="1">
        <v>0</v>
      </c>
      <c r="E6" s="2">
        <v>0</v>
      </c>
    </row>
    <row r="7" spans="1:5" x14ac:dyDescent="0.25">
      <c r="A7" s="1" t="s">
        <v>88</v>
      </c>
      <c r="B7" s="1">
        <v>1034.89650938</v>
      </c>
      <c r="C7" s="2">
        <v>1196615.45</v>
      </c>
      <c r="D7" s="1">
        <v>0</v>
      </c>
      <c r="E7" s="2">
        <v>0</v>
      </c>
    </row>
    <row r="8" spans="1:5" x14ac:dyDescent="0.25">
      <c r="A8" s="1" t="s">
        <v>93</v>
      </c>
      <c r="B8" s="1">
        <v>3606.8808908000001</v>
      </c>
      <c r="C8" s="2">
        <v>4502430.6999999993</v>
      </c>
      <c r="D8" s="1">
        <v>0</v>
      </c>
      <c r="E8" s="2">
        <v>0</v>
      </c>
    </row>
    <row r="9" spans="1:5" x14ac:dyDescent="0.25">
      <c r="A9" s="1" t="s">
        <v>99</v>
      </c>
      <c r="B9" s="1">
        <v>421.17055156800012</v>
      </c>
      <c r="C9" s="2">
        <v>598355.75</v>
      </c>
      <c r="D9" s="1">
        <v>0</v>
      </c>
      <c r="E9" s="2">
        <v>0</v>
      </c>
    </row>
    <row r="10" spans="1:5" x14ac:dyDescent="0.25">
      <c r="A10" s="1" t="s">
        <v>105</v>
      </c>
      <c r="B10" s="1">
        <v>176.37168235999999</v>
      </c>
      <c r="C10" s="2">
        <v>278729.84999999998</v>
      </c>
      <c r="D10" s="1">
        <v>0</v>
      </c>
      <c r="E10" s="2">
        <v>0</v>
      </c>
    </row>
    <row r="11" spans="1:5" x14ac:dyDescent="0.25">
      <c r="A11" s="1" t="s">
        <v>122</v>
      </c>
      <c r="B11" s="1">
        <v>1468.0722405910001</v>
      </c>
      <c r="C11" s="2">
        <v>2218642.4</v>
      </c>
      <c r="D11" s="1">
        <v>0</v>
      </c>
      <c r="E11" s="2">
        <v>0</v>
      </c>
    </row>
    <row r="12" spans="1:5" x14ac:dyDescent="0.25">
      <c r="A12" s="1" t="s">
        <v>130</v>
      </c>
      <c r="B12" s="1">
        <v>1443.7125619999999</v>
      </c>
      <c r="C12" s="2">
        <v>1570058.21</v>
      </c>
      <c r="D12" s="1">
        <v>0</v>
      </c>
      <c r="E12" s="2">
        <v>0</v>
      </c>
    </row>
    <row r="13" spans="1:5" x14ac:dyDescent="0.25">
      <c r="A13" s="1" t="s">
        <v>135</v>
      </c>
      <c r="B13" s="1">
        <v>1109.38708655</v>
      </c>
      <c r="C13" s="2">
        <v>1613706.45</v>
      </c>
      <c r="D13" s="1">
        <v>0</v>
      </c>
      <c r="E13" s="2">
        <v>0</v>
      </c>
    </row>
    <row r="14" spans="1:5" x14ac:dyDescent="0.25">
      <c r="A14" t="s">
        <v>161</v>
      </c>
      <c r="B14" s="1">
        <f>SUBTOTAL(109,Table7[Column2])</f>
        <v>9502.2378077890007</v>
      </c>
      <c r="C14" s="2">
        <f>SUBTOTAL(109,Table7[Column3])</f>
        <v>12368389.909999996</v>
      </c>
      <c r="D14" s="1">
        <f>SUBTOTAL(109,Table7[Column4])</f>
        <v>0</v>
      </c>
      <c r="E14" s="2">
        <f>SUBTOTAL(109,Table7[Column5])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5"/>
  <sheetViews>
    <sheetView workbookViewId="0"/>
  </sheetViews>
  <sheetFormatPr defaultRowHeight="15" x14ac:dyDescent="0.25"/>
  <cols>
    <col min="1" max="1" width="31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1</v>
      </c>
      <c r="B2" s="1">
        <v>28.46156964</v>
      </c>
      <c r="C2" s="2">
        <v>34027</v>
      </c>
      <c r="D2" s="1">
        <v>14.864030682999999</v>
      </c>
      <c r="E2" s="2">
        <v>17106.72</v>
      </c>
    </row>
    <row r="3" spans="1:5" x14ac:dyDescent="0.25">
      <c r="A3" s="1" t="s">
        <v>14</v>
      </c>
      <c r="B3" s="1">
        <v>0</v>
      </c>
      <c r="C3" s="2">
        <v>0</v>
      </c>
      <c r="D3" s="1">
        <v>23.243846779999998</v>
      </c>
      <c r="E3" s="2">
        <v>25274.2464</v>
      </c>
    </row>
    <row r="4" spans="1:5" x14ac:dyDescent="0.25">
      <c r="A4" s="1" t="s">
        <v>15</v>
      </c>
      <c r="B4" s="1">
        <v>0</v>
      </c>
      <c r="C4" s="2">
        <v>0</v>
      </c>
      <c r="D4" s="1">
        <v>60.937260750000007</v>
      </c>
      <c r="E4" s="2">
        <v>68692.494000000006</v>
      </c>
    </row>
    <row r="5" spans="1:5" x14ac:dyDescent="0.25">
      <c r="A5" s="1" t="s">
        <v>23</v>
      </c>
      <c r="B5" s="1">
        <v>777.361561951</v>
      </c>
      <c r="C5" s="2">
        <v>1090248.1000000001</v>
      </c>
      <c r="D5" s="1">
        <v>92.161985353999995</v>
      </c>
      <c r="E5" s="2">
        <v>77524.6342</v>
      </c>
    </row>
    <row r="6" spans="1:5" x14ac:dyDescent="0.25">
      <c r="A6" s="1" t="s">
        <v>25</v>
      </c>
      <c r="B6" s="1">
        <v>0.74</v>
      </c>
      <c r="C6" s="2">
        <v>6360.5</v>
      </c>
      <c r="D6" s="1">
        <v>0</v>
      </c>
      <c r="E6" s="2">
        <v>0</v>
      </c>
    </row>
    <row r="7" spans="1:5" x14ac:dyDescent="0.25">
      <c r="A7" s="1" t="s">
        <v>35</v>
      </c>
      <c r="B7" s="1">
        <v>72.874448392999994</v>
      </c>
      <c r="C7" s="2">
        <v>100603.6</v>
      </c>
      <c r="D7" s="1">
        <v>0</v>
      </c>
      <c r="E7" s="2">
        <v>0</v>
      </c>
    </row>
    <row r="8" spans="1:5" x14ac:dyDescent="0.25">
      <c r="A8" s="1" t="s">
        <v>41</v>
      </c>
      <c r="B8" s="1">
        <v>1.492782265</v>
      </c>
      <c r="C8" s="2">
        <v>3945.75</v>
      </c>
      <c r="D8" s="1">
        <v>4.1427295730000004</v>
      </c>
      <c r="E8" s="2">
        <v>6340.1772000000001</v>
      </c>
    </row>
    <row r="9" spans="1:5" x14ac:dyDescent="0.25">
      <c r="A9" s="1" t="s">
        <v>45</v>
      </c>
      <c r="B9" s="1">
        <v>816.53440090000004</v>
      </c>
      <c r="C9" s="2">
        <v>1133672.55</v>
      </c>
      <c r="D9" s="1">
        <v>116.369254697</v>
      </c>
      <c r="E9" s="2">
        <v>145158.4736</v>
      </c>
    </row>
    <row r="10" spans="1:5" x14ac:dyDescent="0.25">
      <c r="A10" s="1" t="s">
        <v>47</v>
      </c>
      <c r="B10" s="1">
        <v>54.74682129</v>
      </c>
      <c r="C10" s="2">
        <v>80641.899999999994</v>
      </c>
      <c r="D10" s="1">
        <v>268.18865075999997</v>
      </c>
      <c r="E10" s="2">
        <v>299872.67099999997</v>
      </c>
    </row>
    <row r="11" spans="1:5" x14ac:dyDescent="0.25">
      <c r="A11" s="1" t="s">
        <v>58</v>
      </c>
      <c r="B11" s="1">
        <v>25.187739189999999</v>
      </c>
      <c r="C11" s="2">
        <v>29449.5</v>
      </c>
      <c r="D11" s="1">
        <v>0</v>
      </c>
      <c r="E11" s="2">
        <v>0</v>
      </c>
    </row>
    <row r="12" spans="1:5" x14ac:dyDescent="0.25">
      <c r="A12" s="1" t="s">
        <v>69</v>
      </c>
      <c r="B12" s="1">
        <v>6.12</v>
      </c>
      <c r="C12" s="2">
        <v>13328.5</v>
      </c>
      <c r="D12" s="1">
        <v>0</v>
      </c>
      <c r="E12" s="2">
        <v>0</v>
      </c>
    </row>
    <row r="13" spans="1:5" x14ac:dyDescent="0.25">
      <c r="A13" s="1" t="s">
        <v>74</v>
      </c>
      <c r="B13" s="1">
        <v>53.774020462999999</v>
      </c>
      <c r="C13" s="2">
        <v>76946</v>
      </c>
      <c r="D13" s="1">
        <v>13.690307199999999</v>
      </c>
      <c r="E13" s="2">
        <v>13795.931200000001</v>
      </c>
    </row>
    <row r="14" spans="1:5" x14ac:dyDescent="0.25">
      <c r="A14" s="1" t="s">
        <v>87</v>
      </c>
      <c r="B14" s="1">
        <v>0</v>
      </c>
      <c r="C14" s="2">
        <v>0</v>
      </c>
      <c r="D14" s="1">
        <v>167.211938008</v>
      </c>
      <c r="E14" s="2">
        <v>193124.9999</v>
      </c>
    </row>
    <row r="15" spans="1:5" x14ac:dyDescent="0.25">
      <c r="A15" s="1" t="s">
        <v>93</v>
      </c>
      <c r="B15" s="1">
        <v>3764.1403117700002</v>
      </c>
      <c r="C15" s="2">
        <v>4857319.7200000007</v>
      </c>
      <c r="D15" s="1">
        <v>0</v>
      </c>
      <c r="E15" s="2">
        <v>0</v>
      </c>
    </row>
    <row r="16" spans="1:5" x14ac:dyDescent="0.25">
      <c r="A16" s="1" t="s">
        <v>94</v>
      </c>
      <c r="B16" s="1">
        <v>4223.9711380999997</v>
      </c>
      <c r="C16" s="2">
        <v>5345060.45</v>
      </c>
      <c r="D16" s="1">
        <v>0</v>
      </c>
      <c r="E16" s="2">
        <v>0</v>
      </c>
    </row>
    <row r="17" spans="1:5" x14ac:dyDescent="0.25">
      <c r="A17" s="1" t="s">
        <v>95</v>
      </c>
      <c r="B17" s="1">
        <v>0</v>
      </c>
      <c r="C17" s="2">
        <v>0</v>
      </c>
      <c r="D17" s="1">
        <v>13.379863422</v>
      </c>
      <c r="E17" s="2">
        <v>14546.712</v>
      </c>
    </row>
    <row r="18" spans="1:5" x14ac:dyDescent="0.25">
      <c r="A18" s="1" t="s">
        <v>99</v>
      </c>
      <c r="B18" s="1">
        <v>6.9314081370000009</v>
      </c>
      <c r="C18" s="2">
        <v>9481.75</v>
      </c>
      <c r="D18" s="1">
        <v>0</v>
      </c>
      <c r="E18" s="2">
        <v>0</v>
      </c>
    </row>
    <row r="19" spans="1:5" x14ac:dyDescent="0.25">
      <c r="A19" s="1" t="s">
        <v>104</v>
      </c>
      <c r="B19" s="1">
        <v>176.725095541</v>
      </c>
      <c r="C19" s="2">
        <v>251306.75</v>
      </c>
      <c r="D19" s="1">
        <v>55.084706995999987</v>
      </c>
      <c r="E19" s="2">
        <v>66211.33600000001</v>
      </c>
    </row>
    <row r="20" spans="1:5" x14ac:dyDescent="0.25">
      <c r="A20" s="1" t="s">
        <v>106</v>
      </c>
      <c r="B20" s="1">
        <v>1.84</v>
      </c>
      <c r="C20" s="2">
        <v>12228.75</v>
      </c>
      <c r="D20" s="1">
        <v>0</v>
      </c>
      <c r="E20" s="2">
        <v>0</v>
      </c>
    </row>
    <row r="21" spans="1:5" x14ac:dyDescent="0.25">
      <c r="A21" s="1" t="s">
        <v>116</v>
      </c>
      <c r="B21" s="1">
        <v>40.74077003</v>
      </c>
      <c r="C21" s="2">
        <v>57060</v>
      </c>
      <c r="D21" s="1">
        <v>142.826391898</v>
      </c>
      <c r="E21" s="2">
        <v>126310.1042</v>
      </c>
    </row>
    <row r="22" spans="1:5" x14ac:dyDescent="0.25">
      <c r="A22" s="1" t="s">
        <v>118</v>
      </c>
      <c r="B22" s="1">
        <v>9.23</v>
      </c>
      <c r="C22" s="2">
        <v>17726.25</v>
      </c>
      <c r="D22" s="1">
        <v>0.50278589200000001</v>
      </c>
      <c r="E22" s="2">
        <v>994.2944</v>
      </c>
    </row>
    <row r="23" spans="1:5" x14ac:dyDescent="0.25">
      <c r="A23" s="1" t="s">
        <v>123</v>
      </c>
      <c r="B23" s="1">
        <v>2431.8460843749999</v>
      </c>
      <c r="C23" s="2">
        <v>3104717.7100000009</v>
      </c>
      <c r="D23" s="1">
        <v>617.53718428800005</v>
      </c>
      <c r="E23" s="2">
        <v>776298.17089999979</v>
      </c>
    </row>
    <row r="24" spans="1:5" x14ac:dyDescent="0.25">
      <c r="A24" s="1" t="s">
        <v>152</v>
      </c>
      <c r="B24" s="1">
        <v>4.8899999999999997</v>
      </c>
      <c r="C24" s="2">
        <v>12461.4</v>
      </c>
      <c r="D24" s="1">
        <v>0</v>
      </c>
      <c r="E24" s="2">
        <v>0</v>
      </c>
    </row>
    <row r="25" spans="1:5" x14ac:dyDescent="0.25">
      <c r="A25" t="s">
        <v>161</v>
      </c>
      <c r="B25" s="1">
        <f>SUBTOTAL(109,Table8[Column2])</f>
        <v>12497.608152044997</v>
      </c>
      <c r="C25" s="2">
        <f>SUBTOTAL(109,Table8[Column3])</f>
        <v>16236586.180000002</v>
      </c>
      <c r="D25" s="1">
        <f>SUBTOTAL(109,Table8[Column4])</f>
        <v>1590.140936301</v>
      </c>
      <c r="E25" s="2">
        <f>SUBTOTAL(109,Table8[Column5])</f>
        <v>1831250.9649999999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1"/>
  <sheetViews>
    <sheetView workbookViewId="0"/>
  </sheetViews>
  <sheetFormatPr defaultRowHeight="15" x14ac:dyDescent="0.25"/>
  <cols>
    <col min="1" max="1" width="30.57031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8</v>
      </c>
      <c r="B2" s="1">
        <v>2.12</v>
      </c>
      <c r="C2" s="2">
        <v>8399.4500000000007</v>
      </c>
      <c r="D2" s="1">
        <v>0</v>
      </c>
      <c r="E2" s="2">
        <v>0</v>
      </c>
    </row>
    <row r="3" spans="1:5" x14ac:dyDescent="0.25">
      <c r="A3" s="1" t="s">
        <v>17</v>
      </c>
      <c r="B3" s="1">
        <v>2.8849327059999998</v>
      </c>
      <c r="C3" s="2">
        <v>6414.45</v>
      </c>
      <c r="D3" s="1">
        <v>2.2216087369999999</v>
      </c>
      <c r="E3" s="2">
        <v>3908.7312000000002</v>
      </c>
    </row>
    <row r="4" spans="1:5" x14ac:dyDescent="0.25">
      <c r="A4" s="1" t="s">
        <v>19</v>
      </c>
      <c r="B4" s="1">
        <v>9.2080278209999999</v>
      </c>
      <c r="C4" s="2">
        <v>12640.8</v>
      </c>
      <c r="D4" s="1">
        <v>0</v>
      </c>
      <c r="E4" s="2">
        <v>0</v>
      </c>
    </row>
    <row r="5" spans="1:5" x14ac:dyDescent="0.25">
      <c r="A5" s="1" t="s">
        <v>20</v>
      </c>
      <c r="B5" s="1">
        <v>0</v>
      </c>
      <c r="C5" s="2">
        <v>0</v>
      </c>
      <c r="D5" s="1">
        <v>1.355568943</v>
      </c>
      <c r="E5" s="2">
        <v>2593.5</v>
      </c>
    </row>
    <row r="6" spans="1:5" x14ac:dyDescent="0.25">
      <c r="A6" s="1" t="s">
        <v>36</v>
      </c>
      <c r="B6" s="1">
        <v>5778.269163326001</v>
      </c>
      <c r="C6" s="2">
        <v>7374718.3499999987</v>
      </c>
      <c r="D6" s="1">
        <v>0</v>
      </c>
      <c r="E6" s="2">
        <v>0</v>
      </c>
    </row>
    <row r="7" spans="1:5" x14ac:dyDescent="0.25">
      <c r="A7" s="1" t="s">
        <v>39</v>
      </c>
      <c r="B7" s="1">
        <v>6.33</v>
      </c>
      <c r="C7" s="2">
        <v>8563.5499999999993</v>
      </c>
      <c r="D7" s="1">
        <v>0</v>
      </c>
      <c r="E7" s="2">
        <v>0</v>
      </c>
    </row>
    <row r="8" spans="1:5" x14ac:dyDescent="0.25">
      <c r="A8" s="1" t="s">
        <v>55</v>
      </c>
      <c r="B8" s="1">
        <v>0</v>
      </c>
      <c r="C8" s="2">
        <v>0</v>
      </c>
      <c r="D8" s="1">
        <v>46.972469072000003</v>
      </c>
      <c r="E8" s="2">
        <v>56472.289999999994</v>
      </c>
    </row>
    <row r="9" spans="1:5" x14ac:dyDescent="0.25">
      <c r="A9" s="1" t="s">
        <v>62</v>
      </c>
      <c r="B9" s="1">
        <v>0</v>
      </c>
      <c r="C9" s="2">
        <v>0</v>
      </c>
      <c r="D9" s="1">
        <v>40.649748614000003</v>
      </c>
      <c r="E9" s="2">
        <v>40103.453577999993</v>
      </c>
    </row>
    <row r="10" spans="1:5" x14ac:dyDescent="0.25">
      <c r="A10" s="1" t="s">
        <v>63</v>
      </c>
      <c r="B10" s="1">
        <v>7.945198789</v>
      </c>
      <c r="C10" s="2">
        <v>10319.85</v>
      </c>
      <c r="D10" s="1">
        <v>0</v>
      </c>
      <c r="E10" s="2">
        <v>0</v>
      </c>
    </row>
    <row r="11" spans="1:5" x14ac:dyDescent="0.25">
      <c r="A11" s="1" t="s">
        <v>72</v>
      </c>
      <c r="B11" s="1">
        <v>0</v>
      </c>
      <c r="C11" s="2">
        <v>0</v>
      </c>
      <c r="D11" s="1">
        <v>8.0857487000000006E-2</v>
      </c>
      <c r="E11" s="2">
        <v>176.43600000000001</v>
      </c>
    </row>
    <row r="12" spans="1:5" x14ac:dyDescent="0.25">
      <c r="A12" s="1" t="s">
        <v>75</v>
      </c>
      <c r="B12" s="1">
        <v>197.55</v>
      </c>
      <c r="C12" s="2">
        <v>261938.05</v>
      </c>
      <c r="D12" s="1">
        <v>0</v>
      </c>
      <c r="E12" s="2">
        <v>0</v>
      </c>
    </row>
    <row r="13" spans="1:5" x14ac:dyDescent="0.25">
      <c r="A13" s="1" t="s">
        <v>97</v>
      </c>
      <c r="B13" s="1">
        <v>51.176928169</v>
      </c>
      <c r="C13" s="2">
        <v>72101.300000000017</v>
      </c>
      <c r="D13" s="1">
        <v>18.834328880000001</v>
      </c>
      <c r="E13" s="2">
        <v>18172.809300000001</v>
      </c>
    </row>
    <row r="14" spans="1:5" x14ac:dyDescent="0.25">
      <c r="A14" s="1" t="s">
        <v>100</v>
      </c>
      <c r="B14" s="1">
        <v>2786.3611578099999</v>
      </c>
      <c r="C14" s="2">
        <v>3634170.15</v>
      </c>
      <c r="D14" s="1">
        <v>0</v>
      </c>
      <c r="E14" s="2">
        <v>0</v>
      </c>
    </row>
    <row r="15" spans="1:5" x14ac:dyDescent="0.25">
      <c r="A15" s="1" t="s">
        <v>102</v>
      </c>
      <c r="B15" s="1">
        <v>5.45</v>
      </c>
      <c r="C15" s="2">
        <v>14979</v>
      </c>
      <c r="D15" s="1">
        <v>0</v>
      </c>
      <c r="E15" s="2">
        <v>0</v>
      </c>
    </row>
    <row r="16" spans="1:5" x14ac:dyDescent="0.25">
      <c r="A16" s="1" t="s">
        <v>103</v>
      </c>
      <c r="B16" s="1">
        <v>31.3011573</v>
      </c>
      <c r="C16" s="2">
        <v>45082.65</v>
      </c>
      <c r="D16" s="1">
        <v>0</v>
      </c>
      <c r="E16" s="2">
        <v>0</v>
      </c>
    </row>
    <row r="17" spans="1:5" x14ac:dyDescent="0.25">
      <c r="A17" s="1" t="s">
        <v>110</v>
      </c>
      <c r="B17" s="1">
        <v>5.1731254270000004</v>
      </c>
      <c r="C17" s="2">
        <v>6676.2</v>
      </c>
      <c r="D17" s="1">
        <v>5.1026034440000014</v>
      </c>
      <c r="E17" s="2">
        <v>7714.3192000000008</v>
      </c>
    </row>
    <row r="18" spans="1:5" x14ac:dyDescent="0.25">
      <c r="A18" s="1" t="s">
        <v>115</v>
      </c>
      <c r="B18" s="1">
        <v>10.563667410000001</v>
      </c>
      <c r="C18" s="2">
        <v>14946.1</v>
      </c>
      <c r="D18" s="1">
        <v>47.906616681000003</v>
      </c>
      <c r="E18" s="2">
        <v>39736.353799999997</v>
      </c>
    </row>
    <row r="19" spans="1:5" x14ac:dyDescent="0.25">
      <c r="A19" s="1" t="s">
        <v>127</v>
      </c>
      <c r="B19" s="1">
        <v>62.56</v>
      </c>
      <c r="C19" s="2">
        <v>65536.649999999994</v>
      </c>
      <c r="D19" s="1">
        <v>0</v>
      </c>
      <c r="E19" s="2">
        <v>0</v>
      </c>
    </row>
    <row r="20" spans="1:5" x14ac:dyDescent="0.25">
      <c r="A20" s="1" t="s">
        <v>138</v>
      </c>
      <c r="B20" s="1">
        <v>18.454684669999999</v>
      </c>
      <c r="C20" s="2">
        <v>23204</v>
      </c>
      <c r="D20" s="1">
        <v>0</v>
      </c>
      <c r="E20" s="2">
        <v>0</v>
      </c>
    </row>
    <row r="21" spans="1:5" x14ac:dyDescent="0.25">
      <c r="A21" t="s">
        <v>161</v>
      </c>
      <c r="B21" s="1">
        <f>SUBTOTAL(109,Table5[Column2])</f>
        <v>8975.3480434280009</v>
      </c>
      <c r="C21" s="2">
        <f>SUBTOTAL(109,Table5[Column3])</f>
        <v>11559690.549999997</v>
      </c>
      <c r="D21" s="1">
        <f>SUBTOTAL(109,Table5[Column4])</f>
        <v>163.12380185800001</v>
      </c>
      <c r="E21" s="2">
        <f>SUBTOTAL(109,Table5[Column5])</f>
        <v>168877.89307799999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0"/>
  <sheetViews>
    <sheetView workbookViewId="0"/>
  </sheetViews>
  <sheetFormatPr defaultRowHeight="15" x14ac:dyDescent="0.25"/>
  <cols>
    <col min="1" max="1" width="35.425781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21</v>
      </c>
      <c r="B2" s="1">
        <v>3.03</v>
      </c>
      <c r="C2" s="2">
        <v>10460.799999999999</v>
      </c>
      <c r="D2" s="1">
        <v>0</v>
      </c>
      <c r="E2" s="2">
        <v>0</v>
      </c>
    </row>
    <row r="3" spans="1:5" x14ac:dyDescent="0.25">
      <c r="A3" s="1" t="s">
        <v>30</v>
      </c>
      <c r="B3" s="1">
        <v>8.67</v>
      </c>
      <c r="C3" s="2">
        <v>11398</v>
      </c>
      <c r="D3" s="1">
        <v>0</v>
      </c>
      <c r="E3" s="2">
        <v>0</v>
      </c>
    </row>
    <row r="4" spans="1:5" x14ac:dyDescent="0.25">
      <c r="A4" s="1" t="s">
        <v>32</v>
      </c>
      <c r="B4" s="1">
        <v>6.4238039260000006</v>
      </c>
      <c r="C4" s="2">
        <v>8667.6</v>
      </c>
      <c r="D4" s="1">
        <v>9.6407031290000003</v>
      </c>
      <c r="E4" s="2">
        <v>11586.87</v>
      </c>
    </row>
    <row r="5" spans="1:5" x14ac:dyDescent="0.25">
      <c r="A5" s="1" t="s">
        <v>37</v>
      </c>
      <c r="B5" s="1">
        <v>7.5885329539999997</v>
      </c>
      <c r="C5" s="2">
        <v>8232.9</v>
      </c>
      <c r="D5" s="1">
        <v>8.096605481000001</v>
      </c>
      <c r="E5" s="2">
        <v>9635.9284000000007</v>
      </c>
    </row>
    <row r="6" spans="1:5" x14ac:dyDescent="0.25">
      <c r="A6" s="1" t="s">
        <v>42</v>
      </c>
      <c r="B6" s="1">
        <v>9.5385521799999999</v>
      </c>
      <c r="C6" s="2">
        <v>17855.150000000001</v>
      </c>
      <c r="D6" s="1">
        <v>0</v>
      </c>
      <c r="E6" s="2">
        <v>0</v>
      </c>
    </row>
    <row r="7" spans="1:5" x14ac:dyDescent="0.25">
      <c r="A7" s="1" t="s">
        <v>54</v>
      </c>
      <c r="B7" s="1">
        <v>2.81</v>
      </c>
      <c r="C7" s="2">
        <v>11124.5</v>
      </c>
      <c r="D7" s="1">
        <v>0</v>
      </c>
      <c r="E7" s="2">
        <v>0</v>
      </c>
    </row>
    <row r="8" spans="1:5" x14ac:dyDescent="0.25">
      <c r="A8" s="1" t="s">
        <v>59</v>
      </c>
      <c r="B8" s="1">
        <v>594.61827309100011</v>
      </c>
      <c r="C8" s="2">
        <v>803780.89999999991</v>
      </c>
      <c r="D8" s="1">
        <v>0</v>
      </c>
      <c r="E8" s="2">
        <v>0</v>
      </c>
    </row>
    <row r="9" spans="1:5" x14ac:dyDescent="0.25">
      <c r="A9" s="1" t="s">
        <v>67</v>
      </c>
      <c r="B9" s="1">
        <v>0</v>
      </c>
      <c r="C9" s="2">
        <v>0</v>
      </c>
      <c r="D9" s="1">
        <v>2.515935958</v>
      </c>
      <c r="E9" s="2">
        <v>6870.1067999999996</v>
      </c>
    </row>
    <row r="10" spans="1:5" x14ac:dyDescent="0.25">
      <c r="A10" s="1" t="s">
        <v>68</v>
      </c>
      <c r="B10" s="1">
        <v>5.72</v>
      </c>
      <c r="C10" s="2">
        <v>9517.9</v>
      </c>
      <c r="D10" s="1">
        <v>1.0356546719999999</v>
      </c>
      <c r="E10" s="2">
        <v>4505.9573999999993</v>
      </c>
    </row>
    <row r="11" spans="1:5" x14ac:dyDescent="0.25">
      <c r="A11" s="1" t="s">
        <v>70</v>
      </c>
      <c r="B11" s="1">
        <v>52.709847699999997</v>
      </c>
      <c r="C11" s="2">
        <v>64566.35</v>
      </c>
      <c r="D11" s="1">
        <v>54.112318688999999</v>
      </c>
      <c r="E11" s="2">
        <v>70353.224799999996</v>
      </c>
    </row>
    <row r="12" spans="1:5" x14ac:dyDescent="0.25">
      <c r="A12" s="1" t="s">
        <v>79</v>
      </c>
      <c r="B12" s="1">
        <v>4.71</v>
      </c>
      <c r="C12" s="2">
        <v>12976</v>
      </c>
      <c r="D12" s="1">
        <v>0</v>
      </c>
      <c r="E12" s="2">
        <v>0</v>
      </c>
    </row>
    <row r="13" spans="1:5" x14ac:dyDescent="0.25">
      <c r="A13" s="1" t="s">
        <v>89</v>
      </c>
      <c r="B13" s="1">
        <v>2.5099999999999998</v>
      </c>
      <c r="C13" s="2">
        <v>3423.95</v>
      </c>
      <c r="D13" s="1">
        <v>0</v>
      </c>
      <c r="E13" s="2">
        <v>0</v>
      </c>
    </row>
    <row r="14" spans="1:5" x14ac:dyDescent="0.25">
      <c r="A14" s="1" t="s">
        <v>91</v>
      </c>
      <c r="B14" s="1">
        <v>206.3916151</v>
      </c>
      <c r="C14" s="2">
        <v>228568.8</v>
      </c>
      <c r="D14" s="1">
        <v>84.17429654</v>
      </c>
      <c r="E14" s="2">
        <v>88447</v>
      </c>
    </row>
    <row r="15" spans="1:5" x14ac:dyDescent="0.25">
      <c r="A15" s="1" t="s">
        <v>107</v>
      </c>
      <c r="B15" s="1">
        <v>93.741262039999995</v>
      </c>
      <c r="C15" s="2">
        <v>119654</v>
      </c>
      <c r="D15" s="1">
        <v>0</v>
      </c>
      <c r="E15" s="2">
        <v>0</v>
      </c>
    </row>
    <row r="16" spans="1:5" x14ac:dyDescent="0.25">
      <c r="A16" s="1" t="s">
        <v>109</v>
      </c>
      <c r="B16" s="1">
        <v>5.69</v>
      </c>
      <c r="C16" s="2">
        <v>7787.75</v>
      </c>
      <c r="D16" s="1">
        <v>0</v>
      </c>
      <c r="E16" s="2">
        <v>0</v>
      </c>
    </row>
    <row r="17" spans="1:5" x14ac:dyDescent="0.25">
      <c r="A17" s="1" t="s">
        <v>129</v>
      </c>
      <c r="B17" s="1">
        <v>50.287629549999998</v>
      </c>
      <c r="C17" s="2">
        <v>66405.25</v>
      </c>
      <c r="D17" s="1">
        <v>0</v>
      </c>
      <c r="E17" s="2">
        <v>0</v>
      </c>
    </row>
    <row r="18" spans="1:5" x14ac:dyDescent="0.25">
      <c r="A18" s="1" t="s">
        <v>131</v>
      </c>
      <c r="B18" s="1">
        <v>168.44946945999999</v>
      </c>
      <c r="C18" s="2">
        <v>233314.95</v>
      </c>
      <c r="D18" s="1">
        <v>0</v>
      </c>
      <c r="E18" s="2">
        <v>0</v>
      </c>
    </row>
    <row r="19" spans="1:5" x14ac:dyDescent="0.25">
      <c r="A19" s="1" t="s">
        <v>134</v>
      </c>
      <c r="B19" s="1">
        <v>2.4300000000000002</v>
      </c>
      <c r="C19" s="2">
        <v>3799.25</v>
      </c>
      <c r="D19" s="1">
        <v>0</v>
      </c>
      <c r="E19" s="2">
        <v>0</v>
      </c>
    </row>
    <row r="20" spans="1:5" x14ac:dyDescent="0.25">
      <c r="A20" t="s">
        <v>161</v>
      </c>
      <c r="B20" s="1">
        <f>SUBTOTAL(109,Table4[Column2])</f>
        <v>1225.3189860010002</v>
      </c>
      <c r="C20" s="2">
        <f>SUBTOTAL(109,Table4[Column3])</f>
        <v>1621534.0499999998</v>
      </c>
      <c r="D20" s="1">
        <f>SUBTOTAL(109,Table4[Column4])</f>
        <v>159.57551446899998</v>
      </c>
      <c r="E20" s="2">
        <f>SUBTOTAL(109,Table4[Column5])</f>
        <v>191399.08739999999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5"/>
  <sheetViews>
    <sheetView workbookViewId="0"/>
  </sheetViews>
  <sheetFormatPr defaultRowHeight="15" x14ac:dyDescent="0.25"/>
  <cols>
    <col min="1" max="1" width="26.71093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40</v>
      </c>
      <c r="B2" s="1">
        <v>12.93</v>
      </c>
      <c r="C2" s="2">
        <v>50603</v>
      </c>
      <c r="D2" s="1">
        <v>0</v>
      </c>
      <c r="E2" s="2">
        <v>0</v>
      </c>
    </row>
    <row r="3" spans="1:5" x14ac:dyDescent="0.25">
      <c r="A3" s="1" t="s">
        <v>42</v>
      </c>
      <c r="B3" s="1">
        <v>17.620426170000002</v>
      </c>
      <c r="C3" s="2">
        <v>25579.200000000001</v>
      </c>
      <c r="D3" s="1">
        <v>0</v>
      </c>
      <c r="E3" s="2">
        <v>0</v>
      </c>
    </row>
    <row r="4" spans="1:5" x14ac:dyDescent="0.25">
      <c r="A4" s="1" t="s">
        <v>93</v>
      </c>
      <c r="B4" s="1">
        <v>5604.8802216040003</v>
      </c>
      <c r="C4" s="2">
        <v>8287712.5499999989</v>
      </c>
      <c r="D4" s="1">
        <v>0</v>
      </c>
      <c r="E4" s="2">
        <v>0</v>
      </c>
    </row>
    <row r="5" spans="1:5" x14ac:dyDescent="0.25">
      <c r="A5" t="s">
        <v>161</v>
      </c>
      <c r="B5" s="1">
        <f>SUBTOTAL(109,Table6[Column2])</f>
        <v>5635.4306477740001</v>
      </c>
      <c r="C5" s="2">
        <f>SUBTOTAL(109,Table6[Column3])</f>
        <v>8363894.7499999991</v>
      </c>
      <c r="D5" s="1">
        <f>SUBTOTAL(109,Table6[Column4])</f>
        <v>0</v>
      </c>
      <c r="E5" s="2">
        <f>SUBTOTAL(109,Table6[Column5])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4"/>
  <sheetViews>
    <sheetView workbookViewId="0">
      <selection activeCell="E45" sqref="E45"/>
    </sheetView>
  </sheetViews>
  <sheetFormatPr defaultRowHeight="15" x14ac:dyDescent="0.25"/>
  <cols>
    <col min="1" max="1" width="33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3</v>
      </c>
      <c r="B2" s="1">
        <v>0</v>
      </c>
      <c r="C2" s="2">
        <v>0</v>
      </c>
      <c r="D2" s="1">
        <v>17.940102595999999</v>
      </c>
      <c r="E2" s="2">
        <v>18800.304</v>
      </c>
    </row>
    <row r="3" spans="1:5" x14ac:dyDescent="0.25">
      <c r="A3" s="1" t="s">
        <v>4</v>
      </c>
      <c r="B3" s="1">
        <v>0</v>
      </c>
      <c r="C3" s="2">
        <v>0</v>
      </c>
      <c r="D3" s="1">
        <v>8.5807683089999998</v>
      </c>
      <c r="E3" s="2">
        <v>10640.9246</v>
      </c>
    </row>
    <row r="4" spans="1:5" x14ac:dyDescent="0.25">
      <c r="A4" s="1" t="s">
        <v>6</v>
      </c>
      <c r="B4" s="1">
        <v>0</v>
      </c>
      <c r="C4" s="2">
        <v>0</v>
      </c>
      <c r="D4" s="1">
        <v>2.620611877</v>
      </c>
      <c r="E4" s="2">
        <v>2875.6</v>
      </c>
    </row>
    <row r="5" spans="1:5" x14ac:dyDescent="0.25">
      <c r="A5" s="1" t="s">
        <v>10</v>
      </c>
      <c r="B5" s="1">
        <v>0</v>
      </c>
      <c r="C5" s="2">
        <v>0</v>
      </c>
      <c r="D5" s="1">
        <v>7.5572763030000001</v>
      </c>
      <c r="E5" s="2">
        <v>9585.9962000000014</v>
      </c>
    </row>
    <row r="6" spans="1:5" x14ac:dyDescent="0.25">
      <c r="A6" s="1" t="s">
        <v>27</v>
      </c>
      <c r="B6" s="1">
        <v>0</v>
      </c>
      <c r="C6" s="2">
        <v>0</v>
      </c>
      <c r="D6" s="1">
        <v>104.473278556</v>
      </c>
      <c r="E6" s="2">
        <v>102518.9106</v>
      </c>
    </row>
    <row r="7" spans="1:5" x14ac:dyDescent="0.25">
      <c r="A7" s="1" t="s">
        <v>31</v>
      </c>
      <c r="B7" s="1">
        <v>5.0894658660000003</v>
      </c>
      <c r="C7" s="2">
        <v>9361.7999999999993</v>
      </c>
      <c r="D7" s="1">
        <v>6.5813196100000004</v>
      </c>
      <c r="E7" s="2">
        <v>8119.3588</v>
      </c>
    </row>
    <row r="8" spans="1:5" x14ac:dyDescent="0.25">
      <c r="A8" s="1" t="s">
        <v>56</v>
      </c>
      <c r="B8" s="1">
        <v>0</v>
      </c>
      <c r="C8" s="2">
        <v>0</v>
      </c>
      <c r="D8" s="1">
        <v>0.79613525400000007</v>
      </c>
      <c r="E8" s="2">
        <v>1338.8543999999999</v>
      </c>
    </row>
    <row r="9" spans="1:5" x14ac:dyDescent="0.25">
      <c r="A9" s="1" t="s">
        <v>64</v>
      </c>
      <c r="B9" s="1">
        <v>0</v>
      </c>
      <c r="C9" s="2">
        <v>0</v>
      </c>
      <c r="D9" s="1">
        <v>24.226361957999998</v>
      </c>
      <c r="E9" s="2">
        <v>26940.591</v>
      </c>
    </row>
    <row r="10" spans="1:5" x14ac:dyDescent="0.25">
      <c r="A10" s="1" t="s">
        <v>71</v>
      </c>
      <c r="B10" s="1">
        <v>0</v>
      </c>
      <c r="C10" s="2">
        <v>0</v>
      </c>
      <c r="D10" s="1">
        <v>4.4862440430000001</v>
      </c>
      <c r="E10" s="2">
        <v>5430.7133999999996</v>
      </c>
    </row>
    <row r="11" spans="1:5" x14ac:dyDescent="0.25">
      <c r="A11" s="1" t="s">
        <v>77</v>
      </c>
      <c r="B11" s="1">
        <v>0</v>
      </c>
      <c r="C11" s="2">
        <v>0</v>
      </c>
      <c r="D11" s="1">
        <v>3.9464673330000002</v>
      </c>
      <c r="E11" s="2">
        <v>4732.8624</v>
      </c>
    </row>
    <row r="12" spans="1:5" x14ac:dyDescent="0.25">
      <c r="A12" s="1" t="s">
        <v>80</v>
      </c>
      <c r="B12" s="1">
        <v>0</v>
      </c>
      <c r="C12" s="2">
        <v>0</v>
      </c>
      <c r="D12" s="1">
        <v>5.5407987209999998</v>
      </c>
      <c r="E12" s="2">
        <v>8033.5023999999994</v>
      </c>
    </row>
    <row r="13" spans="1:5" x14ac:dyDescent="0.25">
      <c r="A13" s="1" t="s">
        <v>87</v>
      </c>
      <c r="B13" s="1">
        <v>0</v>
      </c>
      <c r="C13" s="2">
        <v>0</v>
      </c>
      <c r="D13" s="1">
        <v>617.07309086399982</v>
      </c>
      <c r="E13" s="2">
        <v>600174.93429999996</v>
      </c>
    </row>
    <row r="14" spans="1:5" x14ac:dyDescent="0.25">
      <c r="A14" s="1" t="s">
        <v>92</v>
      </c>
      <c r="B14" s="1">
        <v>0</v>
      </c>
      <c r="C14" s="2">
        <v>0</v>
      </c>
      <c r="D14" s="1">
        <v>4.0696152840000002</v>
      </c>
      <c r="E14" s="2">
        <v>5155.92</v>
      </c>
    </row>
    <row r="15" spans="1:5" x14ac:dyDescent="0.25">
      <c r="A15" s="1" t="s">
        <v>108</v>
      </c>
      <c r="B15" s="1">
        <v>0</v>
      </c>
      <c r="C15" s="2">
        <v>0</v>
      </c>
      <c r="D15" s="1">
        <v>2.9970236450000001</v>
      </c>
      <c r="E15" s="2">
        <v>4728.1548000000003</v>
      </c>
    </row>
    <row r="16" spans="1:5" x14ac:dyDescent="0.25">
      <c r="A16" s="1" t="s">
        <v>114</v>
      </c>
      <c r="B16" s="1">
        <v>5.6716452239999997</v>
      </c>
      <c r="C16" s="2">
        <v>8206.15</v>
      </c>
      <c r="D16" s="1">
        <v>0</v>
      </c>
      <c r="E16" s="2">
        <v>0</v>
      </c>
    </row>
    <row r="17" spans="1:5" x14ac:dyDescent="0.25">
      <c r="A17" s="1" t="s">
        <v>125</v>
      </c>
      <c r="B17" s="1">
        <v>0</v>
      </c>
      <c r="C17" s="2">
        <v>0</v>
      </c>
      <c r="D17" s="1">
        <v>6.5382889750000004</v>
      </c>
      <c r="E17" s="2">
        <v>6415.5900000000011</v>
      </c>
    </row>
    <row r="18" spans="1:5" x14ac:dyDescent="0.25">
      <c r="A18" s="1" t="s">
        <v>136</v>
      </c>
      <c r="B18" s="1">
        <v>9.2134991589999995</v>
      </c>
      <c r="C18" s="2">
        <v>15378</v>
      </c>
      <c r="D18" s="1">
        <v>12.877526656000001</v>
      </c>
      <c r="E18" s="2">
        <v>13608.527599999999</v>
      </c>
    </row>
    <row r="19" spans="1:5" x14ac:dyDescent="0.25">
      <c r="A19" s="1" t="s">
        <v>137</v>
      </c>
      <c r="B19" s="1">
        <v>0</v>
      </c>
      <c r="C19" s="2">
        <v>0</v>
      </c>
      <c r="D19" s="1">
        <v>7.9058088949999998</v>
      </c>
      <c r="E19" s="2">
        <v>7536.15</v>
      </c>
    </row>
    <row r="20" spans="1:5" x14ac:dyDescent="0.25">
      <c r="A20" s="1" t="s">
        <v>147</v>
      </c>
      <c r="B20" s="1">
        <v>0</v>
      </c>
      <c r="C20" s="2">
        <v>0</v>
      </c>
      <c r="D20" s="1">
        <v>129.85907369</v>
      </c>
      <c r="E20" s="2">
        <v>137011.79999999999</v>
      </c>
    </row>
    <row r="21" spans="1:5" x14ac:dyDescent="0.25">
      <c r="A21" s="1" t="s">
        <v>148</v>
      </c>
      <c r="B21" s="1">
        <v>0</v>
      </c>
      <c r="C21" s="2">
        <v>0</v>
      </c>
      <c r="D21" s="1">
        <v>1.4551572930000001</v>
      </c>
      <c r="E21" s="2">
        <v>2723.3231999999998</v>
      </c>
    </row>
    <row r="22" spans="1:5" x14ac:dyDescent="0.25">
      <c r="A22" s="1" t="s">
        <v>154</v>
      </c>
      <c r="B22" s="1">
        <v>0</v>
      </c>
      <c r="C22" s="2">
        <v>0</v>
      </c>
      <c r="D22" s="1">
        <v>7.2979064939999994</v>
      </c>
      <c r="E22" s="2">
        <v>9445.5679999999993</v>
      </c>
    </row>
    <row r="23" spans="1:5" x14ac:dyDescent="0.25">
      <c r="A23" s="1" t="s">
        <v>156</v>
      </c>
      <c r="B23" s="1">
        <v>0</v>
      </c>
      <c r="C23" s="2">
        <v>0</v>
      </c>
      <c r="D23" s="1">
        <v>157.64401057000001</v>
      </c>
      <c r="E23" s="2">
        <v>166394.19769999999</v>
      </c>
    </row>
    <row r="24" spans="1:5" x14ac:dyDescent="0.25">
      <c r="A24" t="s">
        <v>161</v>
      </c>
      <c r="B24" s="1">
        <f>SUBTOTAL(109,Table2[Column2])</f>
        <v>19.974610249000001</v>
      </c>
      <c r="C24" s="2">
        <f>SUBTOTAL(109,Table2[Column3])</f>
        <v>32945.949999999997</v>
      </c>
      <c r="D24" s="1">
        <f>SUBTOTAL(109,Table2[Column4])</f>
        <v>1134.4668669259997</v>
      </c>
      <c r="E24" s="2">
        <f>SUBTOTAL(109,Table2[Column5])</f>
        <v>1152211.7833999998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5"/>
  <sheetViews>
    <sheetView workbookViewId="0"/>
  </sheetViews>
  <sheetFormatPr defaultRowHeight="15" x14ac:dyDescent="0.25"/>
  <cols>
    <col min="1" max="1" width="31.71093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5</v>
      </c>
      <c r="B2" s="1">
        <v>0</v>
      </c>
      <c r="C2" s="2">
        <v>0</v>
      </c>
      <c r="D2" s="1">
        <v>15.571742985</v>
      </c>
      <c r="E2" s="2">
        <v>22820.389200000001</v>
      </c>
    </row>
    <row r="3" spans="1:5" x14ac:dyDescent="0.25">
      <c r="A3" s="1" t="s">
        <v>7</v>
      </c>
      <c r="B3" s="1">
        <v>0</v>
      </c>
      <c r="C3" s="2">
        <v>0</v>
      </c>
      <c r="D3" s="1">
        <v>417.29616155000002</v>
      </c>
      <c r="E3" s="2">
        <v>393174.37</v>
      </c>
    </row>
    <row r="4" spans="1:5" x14ac:dyDescent="0.25">
      <c r="A4" s="1" t="s">
        <v>33</v>
      </c>
      <c r="B4" s="1">
        <v>0</v>
      </c>
      <c r="C4" s="2">
        <v>0</v>
      </c>
      <c r="D4" s="1">
        <v>11.52014121</v>
      </c>
      <c r="E4" s="2">
        <v>13241.34</v>
      </c>
    </row>
    <row r="5" spans="1:5" x14ac:dyDescent="0.25">
      <c r="A5" s="1" t="s">
        <v>46</v>
      </c>
      <c r="B5" s="1">
        <v>0</v>
      </c>
      <c r="C5" s="2">
        <v>0</v>
      </c>
      <c r="D5" s="1">
        <v>0.40606752699999998</v>
      </c>
      <c r="E5" s="2">
        <v>855.17770000000007</v>
      </c>
    </row>
    <row r="6" spans="1:5" x14ac:dyDescent="0.25">
      <c r="A6" s="1" t="s">
        <v>60</v>
      </c>
      <c r="B6" s="1">
        <v>0</v>
      </c>
      <c r="C6" s="2">
        <v>0</v>
      </c>
      <c r="D6" s="1">
        <v>6.1696122660000006</v>
      </c>
      <c r="E6" s="2">
        <v>8128.3598000000002</v>
      </c>
    </row>
    <row r="7" spans="1:5" x14ac:dyDescent="0.25">
      <c r="A7" s="1" t="s">
        <v>73</v>
      </c>
      <c r="B7" s="1">
        <v>0</v>
      </c>
      <c r="C7" s="2">
        <v>0</v>
      </c>
      <c r="D7" s="1">
        <v>18.516458830000001</v>
      </c>
      <c r="E7" s="2">
        <v>19506.6558</v>
      </c>
    </row>
    <row r="8" spans="1:5" x14ac:dyDescent="0.25">
      <c r="A8" s="1" t="s">
        <v>84</v>
      </c>
      <c r="B8" s="1">
        <v>0</v>
      </c>
      <c r="C8" s="2">
        <v>0</v>
      </c>
      <c r="D8" s="1">
        <v>1.199658852</v>
      </c>
      <c r="E8" s="2">
        <v>1229.655</v>
      </c>
    </row>
    <row r="9" spans="1:5" x14ac:dyDescent="0.25">
      <c r="A9" s="1" t="s">
        <v>87</v>
      </c>
      <c r="B9" s="1">
        <v>0</v>
      </c>
      <c r="C9" s="2">
        <v>0</v>
      </c>
      <c r="D9" s="1">
        <v>1277.103761419</v>
      </c>
      <c r="E9" s="2">
        <v>1484233.2196289999</v>
      </c>
    </row>
    <row r="10" spans="1:5" x14ac:dyDescent="0.25">
      <c r="A10" s="1" t="s">
        <v>90</v>
      </c>
      <c r="B10" s="1">
        <v>0</v>
      </c>
      <c r="C10" s="2">
        <v>0</v>
      </c>
      <c r="D10" s="1">
        <v>39.952086113999997</v>
      </c>
      <c r="E10" s="2">
        <v>49939.473000000013</v>
      </c>
    </row>
    <row r="11" spans="1:5" x14ac:dyDescent="0.25">
      <c r="A11" s="1" t="s">
        <v>111</v>
      </c>
      <c r="B11" s="1">
        <v>0</v>
      </c>
      <c r="C11" s="2">
        <v>0</v>
      </c>
      <c r="D11" s="1">
        <v>1.139491979</v>
      </c>
      <c r="E11" s="2">
        <v>3040.0776000000001</v>
      </c>
    </row>
    <row r="12" spans="1:5" x14ac:dyDescent="0.25">
      <c r="A12" s="1" t="s">
        <v>117</v>
      </c>
      <c r="B12" s="1">
        <v>0</v>
      </c>
      <c r="C12" s="2">
        <v>0</v>
      </c>
      <c r="D12" s="1">
        <v>5.5864372650000007</v>
      </c>
      <c r="E12" s="2">
        <v>6757.17</v>
      </c>
    </row>
    <row r="13" spans="1:5" x14ac:dyDescent="0.25">
      <c r="A13" s="1" t="s">
        <v>126</v>
      </c>
      <c r="B13" s="1">
        <v>0</v>
      </c>
      <c r="C13" s="2">
        <v>0</v>
      </c>
      <c r="D13" s="1">
        <v>17.401726763999999</v>
      </c>
      <c r="E13" s="2">
        <v>19177.894400000001</v>
      </c>
    </row>
    <row r="14" spans="1:5" x14ac:dyDescent="0.25">
      <c r="A14" s="1" t="s">
        <v>143</v>
      </c>
      <c r="B14" s="1">
        <v>42.899536130000001</v>
      </c>
      <c r="C14" s="2">
        <v>55659.5</v>
      </c>
      <c r="D14" s="1">
        <v>119.65863038000001</v>
      </c>
      <c r="E14" s="2">
        <v>127275.76</v>
      </c>
    </row>
    <row r="15" spans="1:5" x14ac:dyDescent="0.25">
      <c r="A15" t="s">
        <v>161</v>
      </c>
      <c r="B15" s="1">
        <f>SUBTOTAL(109,Table3[Column2])</f>
        <v>42.899536130000001</v>
      </c>
      <c r="C15" s="2">
        <f>SUBTOTAL(109,Table3[Column3])</f>
        <v>55659.5</v>
      </c>
      <c r="D15" s="1">
        <f>SUBTOTAL(109,Table3[Column4])</f>
        <v>1931.521977141</v>
      </c>
      <c r="E15" s="2">
        <f>SUBTOTAL(109,Table3[Column5])</f>
        <v>2149379.5421289997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3"/>
  <sheetViews>
    <sheetView topLeftCell="A4" workbookViewId="0"/>
  </sheetViews>
  <sheetFormatPr defaultRowHeight="15" x14ac:dyDescent="0.25"/>
  <cols>
    <col min="1" max="1" width="26.28515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128</v>
      </c>
      <c r="B2" s="1">
        <v>13.67163467</v>
      </c>
      <c r="C2" s="2">
        <v>20504.7</v>
      </c>
      <c r="D2" s="1">
        <v>0</v>
      </c>
      <c r="E2" s="2">
        <v>0</v>
      </c>
    </row>
    <row r="3" spans="1:5" x14ac:dyDescent="0.25">
      <c r="A3" s="1" t="s">
        <v>151</v>
      </c>
      <c r="B3" s="1">
        <v>106.2068956</v>
      </c>
      <c r="C3" s="2">
        <v>175383.7</v>
      </c>
      <c r="D3" s="1">
        <v>0</v>
      </c>
      <c r="E3" s="2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2"/>
  <sheetViews>
    <sheetView tabSelected="1" workbookViewId="0">
      <selection activeCell="E14" sqref="E14"/>
    </sheetView>
  </sheetViews>
  <sheetFormatPr defaultRowHeight="15" x14ac:dyDescent="0.25"/>
  <cols>
    <col min="1" max="1" width="27.855468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5</v>
      </c>
      <c r="B2" s="1">
        <v>0</v>
      </c>
      <c r="C2" s="2">
        <v>0</v>
      </c>
      <c r="D2" s="1">
        <v>2.4810429040000002</v>
      </c>
      <c r="E2" s="2">
        <v>0</v>
      </c>
    </row>
    <row r="3" spans="1:5" x14ac:dyDescent="0.25">
      <c r="A3" s="1" t="s">
        <v>10</v>
      </c>
      <c r="B3" s="1">
        <v>0</v>
      </c>
      <c r="C3" s="2">
        <v>0</v>
      </c>
      <c r="D3" s="1">
        <v>5.348658618</v>
      </c>
      <c r="E3" s="2">
        <v>0</v>
      </c>
    </row>
    <row r="4" spans="1:5" x14ac:dyDescent="0.25">
      <c r="A4" s="1" t="s">
        <v>12</v>
      </c>
      <c r="B4" s="1">
        <v>0</v>
      </c>
      <c r="C4" s="2">
        <v>0</v>
      </c>
      <c r="D4" s="1">
        <v>0.83827983799999994</v>
      </c>
      <c r="E4" s="2">
        <v>0</v>
      </c>
    </row>
    <row r="5" spans="1:5" x14ac:dyDescent="0.25">
      <c r="A5" s="1" t="s">
        <v>15</v>
      </c>
      <c r="B5" s="1">
        <v>0</v>
      </c>
      <c r="C5" s="2">
        <v>0</v>
      </c>
      <c r="D5" s="1">
        <v>4.8940057750000001</v>
      </c>
      <c r="E5" s="2">
        <v>5568.0300000000007</v>
      </c>
    </row>
    <row r="6" spans="1:5" x14ac:dyDescent="0.25">
      <c r="A6" s="1" t="s">
        <v>23</v>
      </c>
      <c r="B6" s="1">
        <v>0.02</v>
      </c>
      <c r="C6" s="2">
        <v>0</v>
      </c>
      <c r="D6" s="1">
        <v>0</v>
      </c>
      <c r="E6" s="2">
        <v>0</v>
      </c>
    </row>
    <row r="7" spans="1:5" x14ac:dyDescent="0.25">
      <c r="A7" s="1" t="s">
        <v>51</v>
      </c>
      <c r="B7" s="1">
        <v>199.42091823000001</v>
      </c>
      <c r="C7" s="2">
        <v>272534.59000000003</v>
      </c>
      <c r="D7" s="1">
        <v>145.28536236400001</v>
      </c>
      <c r="E7" s="2">
        <v>183256.79620000001</v>
      </c>
    </row>
    <row r="8" spans="1:5" x14ac:dyDescent="0.25">
      <c r="A8" s="1" t="s">
        <v>60</v>
      </c>
      <c r="B8" s="1">
        <v>0</v>
      </c>
      <c r="C8" s="2">
        <v>0</v>
      </c>
      <c r="D8" s="1">
        <v>6.1696122660000006</v>
      </c>
      <c r="E8" s="2">
        <v>8128.3598000000002</v>
      </c>
    </row>
    <row r="9" spans="1:5" x14ac:dyDescent="0.25">
      <c r="A9" s="1" t="s">
        <v>67</v>
      </c>
      <c r="B9" s="1">
        <v>0</v>
      </c>
      <c r="C9" s="2">
        <v>0</v>
      </c>
      <c r="D9" s="1">
        <v>3.1759044E-2</v>
      </c>
      <c r="E9" s="2">
        <v>0</v>
      </c>
    </row>
    <row r="10" spans="1:5" x14ac:dyDescent="0.25">
      <c r="A10" s="1" t="s">
        <v>82</v>
      </c>
      <c r="B10" s="1">
        <v>0</v>
      </c>
      <c r="C10" s="2">
        <v>0</v>
      </c>
      <c r="D10" s="1">
        <v>1.003898358</v>
      </c>
      <c r="E10" s="2">
        <v>4229.04</v>
      </c>
    </row>
    <row r="11" spans="1:5" x14ac:dyDescent="0.25">
      <c r="A11" s="1" t="s">
        <v>83</v>
      </c>
      <c r="B11" s="1">
        <v>0.86</v>
      </c>
      <c r="C11" s="2">
        <v>0.46</v>
      </c>
      <c r="D11" s="1">
        <v>0</v>
      </c>
      <c r="E11" s="2">
        <v>0</v>
      </c>
    </row>
    <row r="12" spans="1:5" x14ac:dyDescent="0.25">
      <c r="A12" s="1" t="s">
        <v>85</v>
      </c>
      <c r="B12" s="1">
        <v>0</v>
      </c>
      <c r="C12" s="2">
        <v>0</v>
      </c>
      <c r="D12" s="1">
        <v>45.229269363</v>
      </c>
      <c r="E12" s="2">
        <v>54618.15</v>
      </c>
    </row>
    <row r="13" spans="1:5" x14ac:dyDescent="0.25">
      <c r="A13" s="1" t="s">
        <v>86</v>
      </c>
      <c r="B13" s="1">
        <v>0</v>
      </c>
      <c r="C13" s="2">
        <v>0</v>
      </c>
      <c r="D13" s="1">
        <v>32.354703620000002</v>
      </c>
      <c r="E13" s="2">
        <v>44007.250800000009</v>
      </c>
    </row>
    <row r="14" spans="1:5" x14ac:dyDescent="0.25">
      <c r="A14" s="1" t="s">
        <v>87</v>
      </c>
      <c r="B14" s="1">
        <v>0</v>
      </c>
      <c r="C14" s="2">
        <v>0</v>
      </c>
      <c r="D14" s="1">
        <v>333.50190300499997</v>
      </c>
      <c r="E14" s="2">
        <v>334704.02400000009</v>
      </c>
    </row>
    <row r="15" spans="1:5" x14ac:dyDescent="0.25">
      <c r="A15" s="1" t="s">
        <v>99</v>
      </c>
      <c r="B15" s="1">
        <v>93.136627400000009</v>
      </c>
      <c r="C15" s="2">
        <v>113632.6</v>
      </c>
      <c r="D15" s="1">
        <v>0</v>
      </c>
      <c r="E15" s="2">
        <v>0</v>
      </c>
    </row>
    <row r="16" spans="1:5" x14ac:dyDescent="0.25">
      <c r="A16" s="1" t="s">
        <v>116</v>
      </c>
      <c r="B16" s="1">
        <v>0</v>
      </c>
      <c r="C16" s="2">
        <v>0</v>
      </c>
      <c r="D16" s="1">
        <v>4.3363577040000001</v>
      </c>
      <c r="E16" s="2">
        <v>7976.9820000000009</v>
      </c>
    </row>
    <row r="17" spans="1:5" x14ac:dyDescent="0.25">
      <c r="A17" s="1" t="s">
        <v>123</v>
      </c>
      <c r="B17" s="1">
        <v>0</v>
      </c>
      <c r="C17" s="2">
        <v>0</v>
      </c>
      <c r="D17" s="1">
        <v>41.77732468</v>
      </c>
      <c r="E17" s="2">
        <v>54140.735999999997</v>
      </c>
    </row>
    <row r="18" spans="1:5" x14ac:dyDescent="0.25">
      <c r="A18" s="1" t="s">
        <v>125</v>
      </c>
      <c r="B18" s="1">
        <v>0</v>
      </c>
      <c r="C18" s="2">
        <v>0</v>
      </c>
      <c r="D18" s="1">
        <v>0.32741363699999998</v>
      </c>
      <c r="E18" s="2">
        <v>0</v>
      </c>
    </row>
    <row r="19" spans="1:5" x14ac:dyDescent="0.25">
      <c r="A19" s="1" t="s">
        <v>132</v>
      </c>
      <c r="B19" s="1">
        <v>1044.166100162</v>
      </c>
      <c r="C19" s="2">
        <v>1230382.8999999999</v>
      </c>
      <c r="D19" s="1">
        <v>635.21003158899998</v>
      </c>
      <c r="E19" s="2">
        <v>732186.77370000025</v>
      </c>
    </row>
    <row r="20" spans="1:5" x14ac:dyDescent="0.25">
      <c r="A20" s="1" t="s">
        <v>142</v>
      </c>
      <c r="B20" s="1">
        <v>0</v>
      </c>
      <c r="C20" s="2">
        <v>0</v>
      </c>
      <c r="D20" s="1">
        <v>1.496625957</v>
      </c>
      <c r="E20" s="2">
        <v>0</v>
      </c>
    </row>
    <row r="21" spans="1:5" x14ac:dyDescent="0.25">
      <c r="A21" s="1" t="s">
        <v>145</v>
      </c>
      <c r="B21" s="1">
        <v>1.226098299</v>
      </c>
      <c r="C21" s="2">
        <v>1997</v>
      </c>
      <c r="D21" s="1">
        <v>0</v>
      </c>
      <c r="E21" s="2">
        <v>0</v>
      </c>
    </row>
    <row r="22" spans="1:5" x14ac:dyDescent="0.25">
      <c r="A22" s="1" t="s">
        <v>146</v>
      </c>
      <c r="B22" s="1">
        <v>213.92783470000001</v>
      </c>
      <c r="C22" s="2">
        <v>341093.25</v>
      </c>
      <c r="D22" s="1">
        <v>127.936185913</v>
      </c>
      <c r="E22" s="2">
        <v>112739.551503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"/>
  <sheetViews>
    <sheetView workbookViewId="0"/>
  </sheetViews>
  <sheetFormatPr defaultRowHeight="15" x14ac:dyDescent="0.25"/>
  <cols>
    <col min="1" max="1" width="20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155</v>
      </c>
      <c r="B2" s="1">
        <v>3.628049877</v>
      </c>
      <c r="C2" s="2">
        <v>6861.5</v>
      </c>
      <c r="D2" s="1">
        <v>5.1549094389999999</v>
      </c>
      <c r="E2" s="2">
        <v>11615.625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8"/>
  <sheetViews>
    <sheetView workbookViewId="0"/>
  </sheetViews>
  <sheetFormatPr defaultRowHeight="15" x14ac:dyDescent="0.25"/>
  <cols>
    <col min="1" max="1" width="26.425781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28</v>
      </c>
      <c r="B2" s="1">
        <v>0</v>
      </c>
      <c r="C2" s="2">
        <v>0</v>
      </c>
      <c r="D2" s="1">
        <v>1.745198188</v>
      </c>
      <c r="E2" s="2">
        <v>4272.8145000000004</v>
      </c>
    </row>
    <row r="3" spans="1:5" x14ac:dyDescent="0.25">
      <c r="A3" s="1" t="s">
        <v>34</v>
      </c>
      <c r="B3" s="1">
        <v>0</v>
      </c>
      <c r="C3" s="2">
        <v>0</v>
      </c>
      <c r="D3" s="1">
        <v>27.738592176000001</v>
      </c>
      <c r="E3" s="2">
        <v>33624.875399999997</v>
      </c>
    </row>
    <row r="4" spans="1:5" x14ac:dyDescent="0.25">
      <c r="A4" s="1" t="s">
        <v>43</v>
      </c>
      <c r="B4" s="1">
        <v>0</v>
      </c>
      <c r="C4" s="2">
        <v>0</v>
      </c>
      <c r="D4" s="1">
        <v>155.74681457200001</v>
      </c>
      <c r="E4" s="2">
        <v>151129.4418</v>
      </c>
    </row>
    <row r="5" spans="1:5" x14ac:dyDescent="0.25">
      <c r="A5" s="1" t="s">
        <v>87</v>
      </c>
      <c r="B5" s="1">
        <v>0</v>
      </c>
      <c r="C5" s="2">
        <v>0</v>
      </c>
      <c r="D5" s="1">
        <v>2580.122959157999</v>
      </c>
      <c r="E5" s="2">
        <v>3236501.9075240009</v>
      </c>
    </row>
    <row r="6" spans="1:5" x14ac:dyDescent="0.25">
      <c r="A6" s="1" t="s">
        <v>96</v>
      </c>
      <c r="B6" s="1">
        <v>0</v>
      </c>
      <c r="C6" s="2">
        <v>0</v>
      </c>
      <c r="D6" s="1">
        <v>131.255889798</v>
      </c>
      <c r="E6" s="2">
        <v>181800.7205</v>
      </c>
    </row>
    <row r="7" spans="1:5" x14ac:dyDescent="0.25">
      <c r="A7" s="1" t="s">
        <v>149</v>
      </c>
      <c r="B7" s="1">
        <v>0</v>
      </c>
      <c r="C7" s="2">
        <v>0</v>
      </c>
      <c r="D7" s="1">
        <v>16.415195430000001</v>
      </c>
      <c r="E7" s="2">
        <v>19115.361199999999</v>
      </c>
    </row>
    <row r="8" spans="1:5" x14ac:dyDescent="0.25">
      <c r="A8" s="1" t="s">
        <v>150</v>
      </c>
      <c r="B8" s="1">
        <v>8.24</v>
      </c>
      <c r="C8" s="2">
        <v>10643.25</v>
      </c>
      <c r="D8" s="1">
        <v>86.147288527000001</v>
      </c>
      <c r="E8" s="2">
        <v>90701.408800000005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10"/>
  <sheetViews>
    <sheetView workbookViewId="0"/>
  </sheetViews>
  <sheetFormatPr defaultRowHeight="15" x14ac:dyDescent="0.25"/>
  <cols>
    <col min="1" max="1" width="29.140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9</v>
      </c>
      <c r="B2" s="1">
        <v>119.46</v>
      </c>
      <c r="C2" s="2">
        <v>166478.75</v>
      </c>
      <c r="D2" s="1">
        <v>7.4949830980000014</v>
      </c>
      <c r="E2" s="2">
        <v>16568.712200000002</v>
      </c>
    </row>
    <row r="3" spans="1:5" x14ac:dyDescent="0.25">
      <c r="A3" s="1" t="s">
        <v>26</v>
      </c>
      <c r="B3" s="1">
        <v>1.58</v>
      </c>
      <c r="C3" s="2">
        <v>4145.25</v>
      </c>
      <c r="D3" s="1">
        <v>0</v>
      </c>
      <c r="E3" s="2">
        <v>0</v>
      </c>
    </row>
    <row r="4" spans="1:5" x14ac:dyDescent="0.25">
      <c r="A4" s="1" t="s">
        <v>82</v>
      </c>
      <c r="B4" s="1">
        <v>51.76853461200001</v>
      </c>
      <c r="C4" s="2">
        <v>118856.13</v>
      </c>
      <c r="D4" s="1">
        <v>32.912512275999987</v>
      </c>
      <c r="E4" s="2">
        <v>52725.956400000003</v>
      </c>
    </row>
    <row r="5" spans="1:5" x14ac:dyDescent="0.25">
      <c r="A5" s="1" t="s">
        <v>87</v>
      </c>
      <c r="B5" s="1">
        <v>0</v>
      </c>
      <c r="C5" s="2">
        <v>0</v>
      </c>
      <c r="D5" s="1">
        <v>22.558999531000001</v>
      </c>
      <c r="E5" s="2">
        <v>30878.250199999999</v>
      </c>
    </row>
    <row r="6" spans="1:5" x14ac:dyDescent="0.25">
      <c r="A6" s="1" t="s">
        <v>119</v>
      </c>
      <c r="B6" s="1">
        <v>35.54</v>
      </c>
      <c r="C6" s="2">
        <v>64039.5</v>
      </c>
      <c r="D6" s="1">
        <v>33.920818722</v>
      </c>
      <c r="E6" s="2">
        <v>61265.648999999998</v>
      </c>
    </row>
    <row r="7" spans="1:5" x14ac:dyDescent="0.25">
      <c r="A7" s="1" t="s">
        <v>121</v>
      </c>
      <c r="B7" s="1">
        <v>2.0651472150000001</v>
      </c>
      <c r="C7" s="2">
        <v>5260.25</v>
      </c>
      <c r="D7" s="1">
        <v>0</v>
      </c>
      <c r="E7" s="2">
        <v>0</v>
      </c>
    </row>
    <row r="8" spans="1:5" x14ac:dyDescent="0.25">
      <c r="A8" s="1" t="s">
        <v>139</v>
      </c>
      <c r="B8" s="1">
        <v>96.195744270000006</v>
      </c>
      <c r="C8" s="2">
        <v>157537.47</v>
      </c>
      <c r="D8" s="1">
        <v>19.824125359</v>
      </c>
      <c r="E8" s="2">
        <v>27366.845700000002</v>
      </c>
    </row>
    <row r="9" spans="1:5" x14ac:dyDescent="0.25">
      <c r="A9" s="1" t="s">
        <v>140</v>
      </c>
      <c r="B9" s="1">
        <v>0</v>
      </c>
      <c r="C9" s="2">
        <v>0</v>
      </c>
      <c r="D9" s="1">
        <v>21.743407489999999</v>
      </c>
      <c r="E9" s="2">
        <v>23766.772499999999</v>
      </c>
    </row>
    <row r="10" spans="1:5" x14ac:dyDescent="0.25">
      <c r="A10" s="1" t="s">
        <v>142</v>
      </c>
      <c r="B10" s="1">
        <v>7.2</v>
      </c>
      <c r="C10" s="2">
        <v>13197</v>
      </c>
      <c r="D10" s="1">
        <v>5.5665055270000003</v>
      </c>
      <c r="E10" s="2">
        <v>7305.75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9"/>
  <sheetViews>
    <sheetView workbookViewId="0"/>
  </sheetViews>
  <sheetFormatPr defaultRowHeight="15" x14ac:dyDescent="0.25"/>
  <cols>
    <col min="1" max="1" width="26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11</v>
      </c>
      <c r="B2" s="1">
        <v>38.479837320000001</v>
      </c>
      <c r="C2" s="2">
        <v>67763.5</v>
      </c>
      <c r="D2" s="1">
        <v>19.489855132999999</v>
      </c>
      <c r="E2" s="2">
        <v>22878.0897</v>
      </c>
    </row>
    <row r="3" spans="1:5" x14ac:dyDescent="0.25">
      <c r="A3" s="1" t="s">
        <v>12</v>
      </c>
      <c r="B3" s="1">
        <v>7.42</v>
      </c>
      <c r="C3" s="2">
        <v>15694.95</v>
      </c>
      <c r="D3" s="1">
        <v>16.411532643000001</v>
      </c>
      <c r="E3" s="2">
        <v>37118.148999999998</v>
      </c>
    </row>
    <row r="4" spans="1:5" x14ac:dyDescent="0.25">
      <c r="A4" s="1" t="s">
        <v>13</v>
      </c>
      <c r="B4" s="1">
        <v>0</v>
      </c>
      <c r="C4" s="2">
        <v>0</v>
      </c>
      <c r="D4" s="1">
        <v>6.7602833900000006</v>
      </c>
      <c r="E4" s="2">
        <v>23906.424999999999</v>
      </c>
    </row>
    <row r="5" spans="1:5" x14ac:dyDescent="0.25">
      <c r="A5" s="1" t="s">
        <v>16</v>
      </c>
      <c r="B5" s="1">
        <v>6.43</v>
      </c>
      <c r="C5" s="2">
        <v>16089.05</v>
      </c>
      <c r="D5" s="1">
        <v>0</v>
      </c>
      <c r="E5" s="2">
        <v>0</v>
      </c>
    </row>
    <row r="6" spans="1:5" x14ac:dyDescent="0.25">
      <c r="A6" s="1" t="s">
        <v>44</v>
      </c>
      <c r="B6" s="1">
        <v>86.405754167999987</v>
      </c>
      <c r="C6" s="2">
        <v>165419.15</v>
      </c>
      <c r="D6" s="1">
        <v>0</v>
      </c>
      <c r="E6" s="2">
        <v>0</v>
      </c>
    </row>
    <row r="7" spans="1:5" x14ac:dyDescent="0.25">
      <c r="A7" s="1" t="s">
        <v>49</v>
      </c>
      <c r="B7" s="1">
        <v>1.2662732000000001</v>
      </c>
      <c r="C7" s="2">
        <v>2817.65</v>
      </c>
      <c r="D7" s="1">
        <v>115.603609527</v>
      </c>
      <c r="E7" s="2">
        <v>128634.8985</v>
      </c>
    </row>
    <row r="8" spans="1:5" x14ac:dyDescent="0.25">
      <c r="A8" s="1" t="s">
        <v>112</v>
      </c>
      <c r="B8" s="1">
        <v>1.52</v>
      </c>
      <c r="C8" s="2">
        <v>4093.3</v>
      </c>
      <c r="D8" s="1">
        <v>0.72113855299999996</v>
      </c>
      <c r="E8" s="2">
        <v>3887.8474999999999</v>
      </c>
    </row>
    <row r="9" spans="1:5" x14ac:dyDescent="0.25">
      <c r="A9" s="1" t="s">
        <v>141</v>
      </c>
      <c r="B9" s="1">
        <v>12.45</v>
      </c>
      <c r="C9" s="2">
        <v>20711.48</v>
      </c>
      <c r="D9" s="1">
        <v>7.7944362070000004</v>
      </c>
      <c r="E9" s="2">
        <v>13452.8163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11"/>
  <sheetViews>
    <sheetView workbookViewId="0"/>
  </sheetViews>
  <sheetFormatPr defaultRowHeight="15" x14ac:dyDescent="0.25"/>
  <cols>
    <col min="1" max="1" width="24.71093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24</v>
      </c>
      <c r="B2" s="1">
        <v>0</v>
      </c>
      <c r="C2" s="2">
        <v>0</v>
      </c>
      <c r="D2" s="1">
        <v>383.2691049</v>
      </c>
      <c r="E2" s="2">
        <v>126086.8942</v>
      </c>
    </row>
    <row r="3" spans="1:5" x14ac:dyDescent="0.25">
      <c r="A3" s="1" t="s">
        <v>44</v>
      </c>
      <c r="B3" s="1">
        <v>0.96240621500000001</v>
      </c>
      <c r="C3" s="2">
        <v>3566.75</v>
      </c>
      <c r="D3" s="1">
        <v>0</v>
      </c>
      <c r="E3" s="2">
        <v>0</v>
      </c>
    </row>
    <row r="4" spans="1:5" x14ac:dyDescent="0.25">
      <c r="A4" s="1" t="s">
        <v>51</v>
      </c>
      <c r="B4" s="1">
        <v>378.91030855000002</v>
      </c>
      <c r="C4" s="2">
        <v>559089.18999999994</v>
      </c>
      <c r="D4" s="1">
        <v>241.35992190900001</v>
      </c>
      <c r="E4" s="2">
        <v>338978.74099999998</v>
      </c>
    </row>
    <row r="5" spans="1:5" x14ac:dyDescent="0.25">
      <c r="A5" s="1" t="s">
        <v>57</v>
      </c>
      <c r="B5" s="1">
        <v>0</v>
      </c>
      <c r="C5" s="2">
        <v>0</v>
      </c>
      <c r="D5" s="1">
        <v>67.414473540000003</v>
      </c>
      <c r="E5" s="2">
        <v>85746.803199999995</v>
      </c>
    </row>
    <row r="6" spans="1:5" x14ac:dyDescent="0.25">
      <c r="A6" s="1" t="s">
        <v>86</v>
      </c>
      <c r="B6" s="1">
        <v>0</v>
      </c>
      <c r="C6" s="2">
        <v>0</v>
      </c>
      <c r="D6" s="1">
        <v>29.076649849999999</v>
      </c>
      <c r="E6" s="2">
        <v>34010.810999999987</v>
      </c>
    </row>
    <row r="7" spans="1:5" x14ac:dyDescent="0.25">
      <c r="A7" s="1" t="s">
        <v>87</v>
      </c>
      <c r="B7" s="1">
        <v>0</v>
      </c>
      <c r="C7" s="2">
        <v>0</v>
      </c>
      <c r="D7" s="1">
        <v>113.900135831</v>
      </c>
      <c r="E7" s="2">
        <v>145002.0086</v>
      </c>
    </row>
    <row r="8" spans="1:5" x14ac:dyDescent="0.25">
      <c r="A8" s="1" t="s">
        <v>101</v>
      </c>
      <c r="B8" s="1">
        <v>0.22907364399999999</v>
      </c>
      <c r="C8" s="2">
        <v>686.8</v>
      </c>
      <c r="D8" s="1">
        <v>0</v>
      </c>
      <c r="E8" s="2">
        <v>0</v>
      </c>
    </row>
    <row r="9" spans="1:5" x14ac:dyDescent="0.25">
      <c r="A9" s="1" t="s">
        <v>144</v>
      </c>
      <c r="B9" s="1">
        <v>0.16</v>
      </c>
      <c r="C9" s="2">
        <v>383.51</v>
      </c>
      <c r="D9" s="1">
        <v>0</v>
      </c>
      <c r="E9" s="2">
        <v>0</v>
      </c>
    </row>
    <row r="10" spans="1:5" x14ac:dyDescent="0.25">
      <c r="A10" s="1" t="s">
        <v>146</v>
      </c>
      <c r="B10" s="1">
        <v>293.24989495800003</v>
      </c>
      <c r="C10" s="2">
        <v>441446.8</v>
      </c>
      <c r="D10" s="1">
        <v>0</v>
      </c>
      <c r="E10" s="2">
        <v>0</v>
      </c>
    </row>
    <row r="11" spans="1:5" x14ac:dyDescent="0.25">
      <c r="A11" s="1" t="s">
        <v>155</v>
      </c>
      <c r="B11" s="1">
        <v>4.3899999999999997</v>
      </c>
      <c r="C11" s="2">
        <v>10148</v>
      </c>
      <c r="D11" s="1">
        <v>0</v>
      </c>
      <c r="E11" s="2">
        <v>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3"/>
  <sheetViews>
    <sheetView workbookViewId="0"/>
  </sheetViews>
  <sheetFormatPr defaultRowHeight="15" x14ac:dyDescent="0.25"/>
  <cols>
    <col min="1" max="1" width="12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2</v>
      </c>
      <c r="B2" s="1">
        <v>0</v>
      </c>
      <c r="C2" s="2">
        <v>0</v>
      </c>
      <c r="D2" s="1">
        <v>411.07307329999998</v>
      </c>
      <c r="E2" s="2">
        <v>417012.393912</v>
      </c>
    </row>
    <row r="3" spans="1:5" x14ac:dyDescent="0.25">
      <c r="A3" s="1" t="s">
        <v>124</v>
      </c>
      <c r="B3" s="1">
        <v>60.742662129999999</v>
      </c>
      <c r="C3" s="2">
        <v>91334.35</v>
      </c>
      <c r="D3" s="1">
        <v>0</v>
      </c>
      <c r="E3" s="2"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2"/>
  <sheetViews>
    <sheetView workbookViewId="0"/>
  </sheetViews>
  <sheetFormatPr defaultRowHeight="15" x14ac:dyDescent="0.25"/>
  <cols>
    <col min="1" max="1" width="20.28515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87</v>
      </c>
      <c r="B2" s="1">
        <v>0</v>
      </c>
      <c r="C2" s="2">
        <v>0</v>
      </c>
      <c r="D2" s="1">
        <v>3073.6887086649999</v>
      </c>
      <c r="E2" s="2">
        <v>3386128.6231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3"/>
  <sheetViews>
    <sheetView workbookViewId="0"/>
  </sheetViews>
  <sheetFormatPr defaultRowHeight="15" x14ac:dyDescent="0.25"/>
  <cols>
    <col min="1" max="1" width="21.57031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87</v>
      </c>
      <c r="B2" s="1">
        <v>0</v>
      </c>
      <c r="C2" s="2">
        <v>0</v>
      </c>
      <c r="D2" s="1">
        <v>343.76703265200001</v>
      </c>
      <c r="E2" s="2">
        <v>425722.66404800001</v>
      </c>
    </row>
    <row r="3" spans="1:5" x14ac:dyDescent="0.25">
      <c r="A3" s="1" t="s">
        <v>133</v>
      </c>
      <c r="B3" s="1">
        <v>0</v>
      </c>
      <c r="C3" s="2">
        <v>0</v>
      </c>
      <c r="D3" s="1">
        <v>2.5915868629999999</v>
      </c>
      <c r="E3" s="2">
        <v>4779.25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4"/>
  <sheetViews>
    <sheetView workbookViewId="0"/>
  </sheetViews>
  <sheetFormatPr defaultRowHeight="15" x14ac:dyDescent="0.25"/>
  <cols>
    <col min="1" max="1" width="30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78</v>
      </c>
      <c r="B2" s="1">
        <v>0</v>
      </c>
      <c r="C2" s="2">
        <v>0</v>
      </c>
      <c r="D2" s="1">
        <v>5.5786821189999998</v>
      </c>
      <c r="E2" s="2">
        <v>7931.7204000000011</v>
      </c>
    </row>
    <row r="3" spans="1:5" x14ac:dyDescent="0.25">
      <c r="A3" s="1" t="s">
        <v>87</v>
      </c>
      <c r="B3" s="1">
        <v>0</v>
      </c>
      <c r="C3" s="2">
        <v>0</v>
      </c>
      <c r="D3" s="1">
        <v>59.639939517000002</v>
      </c>
      <c r="E3" s="2">
        <v>78462.175799999997</v>
      </c>
    </row>
    <row r="4" spans="1:5" x14ac:dyDescent="0.25">
      <c r="A4" s="1" t="s">
        <v>113</v>
      </c>
      <c r="B4" s="1">
        <v>0</v>
      </c>
      <c r="C4" s="2">
        <v>0</v>
      </c>
      <c r="D4" s="1">
        <v>1.3599142040000001</v>
      </c>
      <c r="E4" s="2">
        <v>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2"/>
  <sheetViews>
    <sheetView workbookViewId="0"/>
  </sheetViews>
  <sheetFormatPr defaultRowHeight="15" x14ac:dyDescent="0.25"/>
  <cols>
    <col min="1" max="1" width="23.425781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153</v>
      </c>
      <c r="B2" s="1">
        <v>0</v>
      </c>
      <c r="C2" s="2">
        <v>0</v>
      </c>
      <c r="D2" s="1">
        <v>2.2746669580000001</v>
      </c>
      <c r="E2" s="2">
        <v>4607.3455000000004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3"/>
  <sheetViews>
    <sheetView workbookViewId="0"/>
  </sheetViews>
  <sheetFormatPr defaultRowHeight="15" x14ac:dyDescent="0.25"/>
  <cols>
    <col min="1" max="1" width="18.71093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76</v>
      </c>
      <c r="B2" s="1">
        <v>0</v>
      </c>
      <c r="C2" s="2">
        <v>0</v>
      </c>
      <c r="D2" s="1">
        <v>61.845692100000001</v>
      </c>
      <c r="E2" s="2">
        <v>60201.123200000002</v>
      </c>
    </row>
    <row r="3" spans="1:5" x14ac:dyDescent="0.25">
      <c r="A3" s="1" t="s">
        <v>120</v>
      </c>
      <c r="B3" s="1">
        <v>0</v>
      </c>
      <c r="C3" s="2">
        <v>0</v>
      </c>
      <c r="D3" s="1">
        <v>0.93720007400000005</v>
      </c>
      <c r="E3" s="2">
        <v>1860.0744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E4"/>
  <sheetViews>
    <sheetView workbookViewId="0"/>
  </sheetViews>
  <sheetFormatPr defaultRowHeight="15" x14ac:dyDescent="0.25"/>
  <cols>
    <col min="1" max="1" width="32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50</v>
      </c>
      <c r="B2" s="1">
        <v>0</v>
      </c>
      <c r="C2" s="2">
        <v>0</v>
      </c>
      <c r="D2" s="1">
        <v>113.892919939</v>
      </c>
      <c r="E2" s="2">
        <v>107826.1547</v>
      </c>
    </row>
    <row r="3" spans="1:5" x14ac:dyDescent="0.25">
      <c r="A3" s="1" t="s">
        <v>66</v>
      </c>
      <c r="B3" s="1">
        <v>0</v>
      </c>
      <c r="C3" s="2">
        <v>0</v>
      </c>
      <c r="D3" s="1">
        <v>12.09096283</v>
      </c>
      <c r="E3" s="2">
        <v>12100.9678</v>
      </c>
    </row>
    <row r="4" spans="1:5" x14ac:dyDescent="0.25">
      <c r="A4" s="1" t="s">
        <v>98</v>
      </c>
      <c r="B4" s="1">
        <v>0</v>
      </c>
      <c r="C4" s="2">
        <v>0</v>
      </c>
      <c r="D4" s="1">
        <v>7.5722847010000001</v>
      </c>
      <c r="E4" s="2">
        <v>9070.9953000000005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2"/>
  <sheetViews>
    <sheetView workbookViewId="0"/>
  </sheetViews>
  <sheetFormatPr defaultRowHeight="15" x14ac:dyDescent="0.25"/>
  <cols>
    <col min="1" max="1" width="22.855468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38</v>
      </c>
      <c r="B2" s="1">
        <v>0</v>
      </c>
      <c r="C2" s="2">
        <v>0</v>
      </c>
      <c r="D2" s="1">
        <v>2.5420924459999998</v>
      </c>
      <c r="E2" s="2">
        <v>4154.5049999999992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2"/>
  <sheetViews>
    <sheetView workbookViewId="0"/>
  </sheetViews>
  <sheetFormatPr defaultRowHeight="15" x14ac:dyDescent="0.25"/>
  <cols>
    <col min="1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48</v>
      </c>
      <c r="B2" s="1">
        <v>0</v>
      </c>
      <c r="C2" s="2">
        <v>0</v>
      </c>
      <c r="D2" s="1">
        <v>0.40709549099999998</v>
      </c>
      <c r="E2" s="2">
        <v>1892.3520000000001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E2"/>
  <sheetViews>
    <sheetView workbookViewId="0"/>
  </sheetViews>
  <sheetFormatPr defaultRowHeight="15" x14ac:dyDescent="0.25"/>
  <cols>
    <col min="1" max="1" width="16.855468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18</v>
      </c>
      <c r="B2" s="1">
        <v>0</v>
      </c>
      <c r="C2" s="2">
        <v>0</v>
      </c>
      <c r="D2" s="1">
        <v>6.6484597079999999</v>
      </c>
      <c r="E2" s="2">
        <v>10151.700000000001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E2"/>
  <sheetViews>
    <sheetView workbookViewId="0"/>
  </sheetViews>
  <sheetFormatPr defaultRowHeight="15" x14ac:dyDescent="0.25"/>
  <cols>
    <col min="1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53</v>
      </c>
      <c r="B2" s="1">
        <v>0</v>
      </c>
      <c r="C2" s="2">
        <v>0</v>
      </c>
      <c r="D2" s="1">
        <v>40.412737149999998</v>
      </c>
      <c r="E2" s="2">
        <v>75179.596799999999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E2"/>
  <sheetViews>
    <sheetView workbookViewId="0"/>
  </sheetViews>
  <sheetFormatPr defaultRowHeight="15" x14ac:dyDescent="0.25"/>
  <cols>
    <col min="1" max="1" width="19.8554687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81</v>
      </c>
      <c r="B2" s="1">
        <v>0</v>
      </c>
      <c r="C2" s="2">
        <v>0</v>
      </c>
      <c r="D2" s="1">
        <v>8.1283372629999988</v>
      </c>
      <c r="E2" s="2">
        <v>11262.832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2"/>
  <sheetViews>
    <sheetView workbookViewId="0">
      <selection activeCell="G16" sqref="G16"/>
    </sheetView>
  </sheetViews>
  <sheetFormatPr defaultRowHeight="15" x14ac:dyDescent="0.25"/>
  <cols>
    <col min="1" max="1" width="20.28515625" style="1" bestFit="1" customWidth="1"/>
    <col min="2" max="2" width="11.85546875" style="1" bestFit="1" customWidth="1"/>
    <col min="3" max="3" width="28" style="2" bestFit="1" customWidth="1"/>
    <col min="4" max="4" width="12.140625" style="1" bestFit="1" customWidth="1"/>
    <col min="5" max="5" width="25.7109375" style="2" bestFit="1" customWidth="1"/>
  </cols>
  <sheetData>
    <row r="1" spans="1:5" x14ac:dyDescent="0.25">
      <c r="A1" s="1" t="s">
        <v>0</v>
      </c>
      <c r="B1" s="1" t="s">
        <v>157</v>
      </c>
      <c r="C1" s="2" t="s">
        <v>158</v>
      </c>
      <c r="D1" s="1" t="s">
        <v>159</v>
      </c>
      <c r="E1" s="2" t="s">
        <v>160</v>
      </c>
    </row>
    <row r="2" spans="1:5" x14ac:dyDescent="0.25">
      <c r="A2" s="1" t="s">
        <v>87</v>
      </c>
      <c r="B2" s="1">
        <v>0</v>
      </c>
      <c r="C2" s="2">
        <v>0</v>
      </c>
      <c r="D2" s="1">
        <v>875.67047396000009</v>
      </c>
      <c r="E2" s="2">
        <v>1009537.98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ALL</vt:lpstr>
      <vt:lpstr>Bob Stearns</vt:lpstr>
      <vt:lpstr>Chris Cline</vt:lpstr>
      <vt:lpstr>John Degidio</vt:lpstr>
      <vt:lpstr>Johnny Martinez</vt:lpstr>
      <vt:lpstr>Martha Leon</vt:lpstr>
      <vt:lpstr>Mike Powell </vt:lpstr>
      <vt:lpstr>Ed Tyk</vt:lpstr>
      <vt:lpstr>Dan Mahlan</vt:lpstr>
      <vt:lpstr>BLANK</vt:lpstr>
      <vt:lpstr>Mike Podmolik</vt:lpstr>
      <vt:lpstr>Drew Dines</vt:lpstr>
      <vt:lpstr>Mary McKown</vt:lpstr>
      <vt:lpstr>Kyle Beebe</vt:lpstr>
      <vt:lpstr>Inside</vt:lpstr>
      <vt:lpstr>Tom Garcia</vt:lpstr>
      <vt:lpstr>Luis Aranda</vt:lpstr>
      <vt:lpstr>Chris Reeves</vt:lpstr>
      <vt:lpstr>Dale Hansen</vt:lpstr>
      <vt:lpstr>Danny Floyd</vt:lpstr>
      <vt:lpstr>Mark Wides</vt:lpstr>
      <vt:lpstr>Dennis Harper</vt:lpstr>
      <vt:lpstr>James Robinson</vt:lpstr>
      <vt:lpstr>Victor Karl</vt:lpstr>
      <vt:lpstr>Kelly Robins</vt:lpstr>
      <vt:lpstr>Gary MacArthur</vt:lpstr>
      <vt:lpstr>Don Bannister</vt:lpstr>
      <vt:lpstr>Phyllis B.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Shannon, Darien</dc:creator>
  <cp:lastModifiedBy>Darien Shannon</cp:lastModifiedBy>
  <dcterms:created xsi:type="dcterms:W3CDTF">2017-01-17T22:02:54Z</dcterms:created>
  <dcterms:modified xsi:type="dcterms:W3CDTF">2017-01-17T23:53:10Z</dcterms:modified>
</cp:coreProperties>
</file>