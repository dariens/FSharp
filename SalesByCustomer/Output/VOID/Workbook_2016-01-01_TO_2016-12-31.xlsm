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defaultThemeVersion="124226"/>
  <bookViews>
    <workbookView xWindow="240" yWindow="15" windowWidth="16095" windowHeight="9660"/>
  </bookViews>
  <sheets>
    <sheet name="Bob Stearns" sheetId="6" r:id="rId1"/>
    <sheet name="Chris Cline" sheetId="7" r:id="rId2"/>
    <sheet name="John Degidio" sheetId="4" r:id="rId3"/>
    <sheet name="Johnny Martinez" sheetId="3" r:id="rId4"/>
    <sheet name="Martha Leon" sheetId="5" r:id="rId5"/>
    <sheet name="Mike Powell " sheetId="1" r:id="rId6"/>
    <sheet name="Ed Tyk" sheetId="2" r:id="rId7"/>
    <sheet name="Dan Mahlan" sheetId="8" r:id="rId8"/>
    <sheet name="BLANK" sheetId="9" r:id="rId9"/>
    <sheet name="Mike Podmolik" sheetId="10" r:id="rId10"/>
    <sheet name="Drew Dines" sheetId="11" r:id="rId11"/>
    <sheet name="Mary McKown" sheetId="12" r:id="rId12"/>
    <sheet name="Kyle Beebe" sheetId="13" r:id="rId13"/>
    <sheet name="Inside" sheetId="14" r:id="rId14"/>
    <sheet name="Tom Garcia" sheetId="15" r:id="rId15"/>
  </sheets>
  <calcPr calcId="145621"/>
  <fileRecoveryPr repairLoad="1"/>
</workbook>
</file>

<file path=xl/calcChain.xml><?xml version="1.0" encoding="utf-8"?>
<calcChain xmlns="http://schemas.openxmlformats.org/spreadsheetml/2006/main">
  <c r="B14" i="6" l="1"/>
  <c r="B21" i="7"/>
  <c r="B17" i="4"/>
  <c r="B19" i="3"/>
  <c r="B5" i="5"/>
  <c r="C5" i="5"/>
  <c r="C19" i="3"/>
  <c r="C17" i="4"/>
  <c r="C21" i="7"/>
  <c r="C14" i="6"/>
</calcChain>
</file>

<file path=xl/sharedStrings.xml><?xml version="1.0" encoding="utf-8"?>
<sst xmlns="http://schemas.openxmlformats.org/spreadsheetml/2006/main" count="152" uniqueCount="96">
  <si>
    <t>Customer</t>
  </si>
  <si>
    <t>DESERT STRUCTURES</t>
  </si>
  <si>
    <t>SKYLINE STEEL INC</t>
  </si>
  <si>
    <t>TRIAD STEEL SERVICES, INC</t>
  </si>
  <si>
    <t>Joist Tons</t>
  </si>
  <si>
    <t>Joist Plant Price + Bump</t>
  </si>
  <si>
    <t xml:space="preserve">W &amp; W STEEL LLC - TX-  </t>
  </si>
  <si>
    <t>CANNON CONSTRUCTORS NORTH, INC</t>
  </si>
  <si>
    <t>DAVISON IRON WORKS, INC.</t>
  </si>
  <si>
    <t xml:space="preserve">DIETRICH IRON WORKS </t>
  </si>
  <si>
    <t>EL DORADO IRON WORKS INC</t>
  </si>
  <si>
    <t>FISHER METAL PRODUCTS</t>
  </si>
  <si>
    <t xml:space="preserve">IN HOUSE BUILDERS </t>
  </si>
  <si>
    <t>JD2, INC.</t>
  </si>
  <si>
    <t>LB CONSTRUCTION INC.</t>
  </si>
  <si>
    <t>LHL CONSTRUCTION, INC.</t>
  </si>
  <si>
    <t xml:space="preserve">MOOREFIELD CONSTRUCTION </t>
  </si>
  <si>
    <t>NUNO IRON &amp; MFG. INC</t>
  </si>
  <si>
    <t>PACIFIC ERECTORS, INC.</t>
  </si>
  <si>
    <t>ROOF STRUCTURES</t>
  </si>
  <si>
    <t>S&amp;H WELDING, INC.</t>
  </si>
  <si>
    <t>STROUSS BROS. CONSTRUCTION INC</t>
  </si>
  <si>
    <t>TECHNICAL STEEL CONST. INC.</t>
  </si>
  <si>
    <t>TLK STEEL INC.</t>
  </si>
  <si>
    <t xml:space="preserve">BEATTIE INC </t>
  </si>
  <si>
    <t>BWB CONTRACTORS</t>
  </si>
  <si>
    <t>CALCO CONSTRUCTION SERVICES</t>
  </si>
  <si>
    <t>DUKE PACIFIC, INC.</t>
  </si>
  <si>
    <t>FACILITY MAKERS INC</t>
  </si>
  <si>
    <t>KERN STEEL FABRICATION</t>
  </si>
  <si>
    <t>MECHANICAL INDUSTRIES, INC.</t>
  </si>
  <si>
    <t>PROJECT STEEL COMPANY, INC.</t>
  </si>
  <si>
    <t>R &amp; A ROOF STRUCTURES</t>
  </si>
  <si>
    <t>RARIG CONSTRUCTION, INC.</t>
  </si>
  <si>
    <t xml:space="preserve">RAZCO METAL </t>
  </si>
  <si>
    <t>SADDLEBACK STEEL</t>
  </si>
  <si>
    <t>SMITH IRONWORKS</t>
  </si>
  <si>
    <t>STEEL TECH INDUSTRIAL CORP.</t>
  </si>
  <si>
    <t>V3 STEEL</t>
  </si>
  <si>
    <t>FALCON IRON INC.</t>
  </si>
  <si>
    <t>PANELIZED STRUCTURES, INC</t>
  </si>
  <si>
    <t>CASCADE STRUCTURES LLC</t>
  </si>
  <si>
    <t>DATELINE EXPORTS</t>
  </si>
  <si>
    <t>ICSW, INC</t>
  </si>
  <si>
    <t>KD STEEL INC</t>
  </si>
  <si>
    <t>KLOECKNER METALS CORPORATION</t>
  </si>
  <si>
    <t>NORTH STAR INDUSTRIES, INC.</t>
  </si>
  <si>
    <t>PROSTEEL INC.</t>
  </si>
  <si>
    <t>RF STEARNS, INC.</t>
  </si>
  <si>
    <t>STEEL ENCOUNTERS - NW</t>
  </si>
  <si>
    <t>SUNSTEEL LLC</t>
  </si>
  <si>
    <t>TOMBARI STRUCTURAL PRODUCTS</t>
  </si>
  <si>
    <t>A-1 STEEL</t>
  </si>
  <si>
    <t>CENTER-LINE COMPANY</t>
  </si>
  <si>
    <t>CLEVELAND CONST. &amp; DESIGN</t>
  </si>
  <si>
    <t>DIVISION 5 INC</t>
  </si>
  <si>
    <t>FERGUSON CONSTRUCTION, INC</t>
  </si>
  <si>
    <t>GEM BUILDINGS</t>
  </si>
  <si>
    <t>H.A. FABRICATORS</t>
  </si>
  <si>
    <t>JD SALES</t>
  </si>
  <si>
    <t>LEADING TECH DEVELOPMENT</t>
  </si>
  <si>
    <t>MARTIN IRON WORKS, INC.</t>
  </si>
  <si>
    <t>PANELIZED STRUCTURES-NEVADA</t>
  </si>
  <si>
    <t>RENO IRON WORKS</t>
  </si>
  <si>
    <t>ROBERT BLOSSOM DESIGN</t>
  </si>
  <si>
    <t>SOUTHERN NEVADA WELDING</t>
  </si>
  <si>
    <t>SPARHAWK METALS INC</t>
  </si>
  <si>
    <t>STEEL ENCOUNTERS, INC</t>
  </si>
  <si>
    <t>WOODLAND FRAMING</t>
  </si>
  <si>
    <t>STEELE SOLUTIONS INC. - OH</t>
  </si>
  <si>
    <t>WILDECK</t>
  </si>
  <si>
    <t>HOBBY LOBBY</t>
  </si>
  <si>
    <t>NEVADA RAILROAD MUSEUM</t>
  </si>
  <si>
    <t>THE KROGER CO.</t>
  </si>
  <si>
    <t>WADMAN CORPORATION</t>
  </si>
  <si>
    <t>WAL-MART REALTY</t>
  </si>
  <si>
    <t>WYNRIGHT (ILLINOIS)</t>
  </si>
  <si>
    <t>WESTERN SLOPE IRON</t>
  </si>
  <si>
    <t>BEHLEN BUILDINGS SYSTEMS</t>
  </si>
  <si>
    <t>CORLE BUILDING SYSTEMS</t>
  </si>
  <si>
    <t>NCI BUILDING SYSTEMS</t>
  </si>
  <si>
    <t>STAR BUILDING SYSTEMS</t>
  </si>
  <si>
    <t xml:space="preserve">STEEL BUILT BUILDING SYSTEMS </t>
  </si>
  <si>
    <t>VP BUILDINGS - CA</t>
  </si>
  <si>
    <t>VP BUILDINGS - WI</t>
  </si>
  <si>
    <t>BLUESCOPE CONSTRUCTION</t>
  </si>
  <si>
    <t xml:space="preserve">BLUESCOPE CSS  </t>
  </si>
  <si>
    <t>BUTLER MFG - CA</t>
  </si>
  <si>
    <t>GARCO BUILDING SYSTEMS</t>
  </si>
  <si>
    <t>HEAVY STRUCTURES</t>
  </si>
  <si>
    <t>SBI METAL BUILDINGS</t>
  </si>
  <si>
    <t>VP BUILDINGS - TN</t>
  </si>
  <si>
    <t>R&amp;O CONSTRUCTION</t>
  </si>
  <si>
    <t>W&amp;H SYSTEMS</t>
  </si>
  <si>
    <t>STEEL LLC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</si>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</sst>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$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15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id="6" name="Table6" displayName="Table6" ref="A1:C14" totalsRowCount="1">
  <autoFilter ref="A1:C13"/>
  <sortState ref="A2:C13">
    <sortCondition descending="1" ref="C1:C13"/>
  </sortState>
  <tableColumns count="3">
    <tableColumn id="1" name="Column1" totalsRowLabel="Total" dataDxfId="9"/>
    <tableColumn id="2" name="Column2" totalsRowFunction="sum"/>
    <tableColumn id="3" name="Column3" totalsRowFunction="sum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A1:C21" totalsRowCount="1">
  <autoFilter ref="A1:C20"/>
  <sortState ref="A2:C20">
    <sortCondition descending="1" ref="C1:C20"/>
  </sortState>
  <tableColumns count="3">
    <tableColumn id="1" name="Column1" totalsRowLabel="Total" dataDxfId="8"/>
    <tableColumn id="2" name="Column2" totalsRowFunction="sum"/>
    <tableColumn id="3" name="Column3" totalsRowFunction="sum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C17" totalsRowCount="1">
  <autoFilter ref="A1:C16"/>
  <sortState ref="A2:C16">
    <sortCondition descending="1" ref="C1:C16"/>
  </sortState>
  <tableColumns count="3">
    <tableColumn id="1" name="Column1" totalsRowLabel="Total" dataDxfId="11"/>
    <tableColumn id="2" name="Column2" totalsRowFunction="sum"/>
    <tableColumn id="3" name="Column3" totalsRowFunction="sum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1:C19" totalsRowCount="1">
  <autoFilter ref="A1:C18"/>
  <sortState ref="A2:C18">
    <sortCondition descending="1" ref="C1:C18"/>
  </sortState>
  <tableColumns count="3">
    <tableColumn id="1" name="Column1" totalsRowLabel="Total" dataDxfId="12"/>
    <tableColumn id="2" name="Column2" totalsRowFunction="sum"/>
    <tableColumn id="3" name="Column3" totalsRowFunction="sum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A1:C5" totalsRowCount="1">
  <autoFilter ref="A1:C4"/>
  <sortState ref="A2:C4">
    <sortCondition descending="1" ref="C1:C4"/>
  </sortState>
  <tableColumns count="3">
    <tableColumn id="1" name="Column1" totalsRowLabel="Total" dataDxfId="10"/>
    <tableColumn id="2" name="Column2" totalsRowFunction="sum"/>
    <tableColumn id="3" name="Column3" totalsRowFunction="sum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:C4" totalsRowShown="0">
  <autoFilter ref="A1:C4"/>
  <tableColumns count="3">
    <tableColumn id="1" name="Column1" dataDxfId="14"/>
    <tableColumn id="2" name="Column2"/>
    <tableColumn id="3" name="Column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1:C2" totalsRowShown="0">
  <autoFilter ref="A1:C2"/>
  <tableColumns count="3">
    <tableColumn id="1" name="Column1" dataDxfId="13"/>
    <tableColumn id="2" name="Column2"/>
    <tableColumn id="3" name="Column3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1:C3" totalsRowShown="0">
  <autoFilter ref="A1:C3"/>
  <tableColumns count="3">
    <tableColumn id="1" name="Column1" dataDxfId="7"/>
    <tableColumn id="2" name="Column2"/>
    <tableColumn id="3" name="Column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1:C8" totalsRowShown="0">
  <autoFilter ref="A1:C8"/>
  <tableColumns count="3">
    <tableColumn id="1" name="Column1" dataDxfId="6"/>
    <tableColumn id="2" name="Column2"/>
    <tableColumn id="3" name="Column3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A1:C2" totalsRowShown="0">
  <autoFilter ref="A1:C2"/>
  <tableColumns count="3">
    <tableColumn id="1" name="Column1" dataDxfId="5"/>
    <tableColumn id="2" name="Column2"/>
    <tableColumn id="3" name="Column3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able11" displayName="Table11" ref="A1:C2" totalsRowShown="0">
  <autoFilter ref="A1:C2"/>
  <tableColumns count="3">
    <tableColumn id="1" name="Column1" dataDxfId="4"/>
    <tableColumn id="2" name="Column2"/>
    <tableColumn id="3" name="Column3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able12" displayName="Table12" ref="A1:C8" totalsRowShown="0">
  <autoFilter ref="A1:C8"/>
  <tableColumns count="3">
    <tableColumn id="1" name="Column1" dataDxfId="3"/>
    <tableColumn id="2" name="Column2"/>
    <tableColumn id="3" name="Column3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able13" displayName="Table13" ref="A1:C8" totalsRowShown="0">
  <autoFilter ref="A1:C8"/>
  <tableColumns count="3">
    <tableColumn id="1" name="Column1" dataDxfId="2"/>
    <tableColumn id="2" name="Column2"/>
    <tableColumn id="3" name="Column3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A1:C7" totalsRowShown="0">
  <autoFilter ref="A1:C7"/>
  <tableColumns count="3">
    <tableColumn id="1" name="Column1" dataDxfId="1"/>
    <tableColumn id="2" name="Column2"/>
    <tableColumn id="3" name="Column3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A1:C2" totalsRowShown="0">
  <autoFilter ref="A1:C2"/>
  <tableColumns count="3">
    <tableColumn id="1" name="Column1" dataDxfId="0"/>
    <tableColumn id="2" name="Column2"/>
    <tableColumn id="3" name="Column3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tabSelected="1" workbookViewId="0"/>
  </sheetViews>
  <sheetFormatPr defaultRowHeight="15" x14ac:dyDescent="0.25"/>
  <cols>
    <col min="1" max="1" width="32.85546875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40</v>
      </c>
      <c r="B2" s="1">
        <v>3606.8808908000001</v>
      </c>
      <c r="C2" s="2">
        <v>4502430.6999999993</v>
      </c>
    </row>
    <row r="3" spans="1:3" x14ac:dyDescent="0.25">
      <c r="A3" s="1" t="s">
        <v>49</v>
      </c>
      <c r="B3" s="1">
        <v>1468.0722405910001</v>
      </c>
      <c r="C3" s="2">
        <v>2218642.4</v>
      </c>
    </row>
    <row r="4" spans="1:3" x14ac:dyDescent="0.25">
      <c r="A4" s="1" t="s">
        <v>51</v>
      </c>
      <c r="B4" s="1">
        <v>1109.38708655</v>
      </c>
      <c r="C4" s="2">
        <v>1613706.45</v>
      </c>
    </row>
    <row r="5" spans="1:3" x14ac:dyDescent="0.25">
      <c r="A5" s="1" t="s">
        <v>50</v>
      </c>
      <c r="B5" s="1">
        <v>1443.7125619999999</v>
      </c>
      <c r="C5" s="2">
        <v>1570058.21</v>
      </c>
    </row>
    <row r="6" spans="1:3" x14ac:dyDescent="0.25">
      <c r="A6" s="1" t="s">
        <v>46</v>
      </c>
      <c r="B6" s="1">
        <v>1034.89650938</v>
      </c>
      <c r="C6" s="2">
        <v>1196615.45</v>
      </c>
    </row>
    <row r="7" spans="1:3" x14ac:dyDescent="0.25">
      <c r="A7" s="1" t="s">
        <v>47</v>
      </c>
      <c r="B7" s="1">
        <v>421.17055156800012</v>
      </c>
      <c r="C7" s="2">
        <v>598355.75</v>
      </c>
    </row>
    <row r="8" spans="1:3" x14ac:dyDescent="0.25">
      <c r="A8" s="1" t="s">
        <v>48</v>
      </c>
      <c r="B8" s="1">
        <v>176.37168235999999</v>
      </c>
      <c r="C8" s="2">
        <v>278729.84999999998</v>
      </c>
    </row>
    <row r="9" spans="1:3" x14ac:dyDescent="0.25">
      <c r="A9" s="1" t="s">
        <v>44</v>
      </c>
      <c r="B9" s="1">
        <v>110.76411315999999</v>
      </c>
      <c r="C9" s="2">
        <v>159591.54999999999</v>
      </c>
    </row>
    <row r="10" spans="1:3" x14ac:dyDescent="0.25">
      <c r="A10" s="1" t="s">
        <v>42</v>
      </c>
      <c r="B10" s="1">
        <v>40.871481879999997</v>
      </c>
      <c r="C10" s="2">
        <v>76361.5</v>
      </c>
    </row>
    <row r="11" spans="1:3" x14ac:dyDescent="0.25">
      <c r="A11" s="1" t="s">
        <v>43</v>
      </c>
      <c r="B11" s="1">
        <v>36.36</v>
      </c>
      <c r="C11" s="2">
        <v>66176.05</v>
      </c>
    </row>
    <row r="12" spans="1:3" x14ac:dyDescent="0.25">
      <c r="A12" s="1" t="s">
        <v>41</v>
      </c>
      <c r="B12" s="1">
        <v>36.251023889999999</v>
      </c>
      <c r="C12" s="2">
        <v>56491.5</v>
      </c>
    </row>
    <row r="13" spans="1:3" x14ac:dyDescent="0.25">
      <c r="A13" s="1" t="s">
        <v>45</v>
      </c>
      <c r="B13" s="1">
        <v>17.499665610000001</v>
      </c>
      <c r="C13" s="2">
        <v>31230.5</v>
      </c>
    </row>
    <row r="14" spans="1:3" x14ac:dyDescent="0.25">
      <c r="A14" t="s">
        <v>95</v>
      </c>
      <c r="B14" s="1">
        <f>SUBTOTAL(109,Table6[Column2])</f>
        <v>9502.2378077890007</v>
      </c>
      <c r="C14" s="2">
        <f>SUBTOTAL(109,Table6[Column3])</f>
        <v>12368389.91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"/>
  <sheetViews>
    <sheetView workbookViewId="0">
      <selection activeCell="E6" sqref="E6"/>
    </sheetView>
  </sheetViews>
  <sheetFormatPr defaultRowHeight="15" x14ac:dyDescent="0.25"/>
  <cols>
    <col min="1" max="1" width="31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62</v>
      </c>
      <c r="B2" s="1">
        <v>4223.9711380999997</v>
      </c>
      <c r="C2" s="2">
        <v>5345060.45</v>
      </c>
    </row>
    <row r="3" spans="1:3" x14ac:dyDescent="0.25">
      <c r="A3" s="1" t="s">
        <v>40</v>
      </c>
      <c r="B3" s="1">
        <v>3764.1403117700002</v>
      </c>
      <c r="C3" s="2">
        <v>4857319.7200000007</v>
      </c>
    </row>
    <row r="4" spans="1:3" x14ac:dyDescent="0.25">
      <c r="A4" s="1" t="s">
        <v>67</v>
      </c>
      <c r="B4" s="1">
        <v>2431.8460843749999</v>
      </c>
      <c r="C4" s="2">
        <v>3104717.7100000009</v>
      </c>
    </row>
    <row r="5" spans="1:3" x14ac:dyDescent="0.25">
      <c r="A5" s="1" t="s">
        <v>57</v>
      </c>
      <c r="B5" s="1">
        <v>816.53440090000004</v>
      </c>
      <c r="C5" s="2">
        <v>1133672.55</v>
      </c>
    </row>
    <row r="6" spans="1:3" x14ac:dyDescent="0.25">
      <c r="A6" s="1" t="s">
        <v>53</v>
      </c>
      <c r="B6" s="1">
        <v>777.361561951</v>
      </c>
      <c r="C6" s="2">
        <v>1090248.1000000001</v>
      </c>
    </row>
    <row r="7" spans="1:3" x14ac:dyDescent="0.25">
      <c r="A7" s="1" t="s">
        <v>63</v>
      </c>
      <c r="B7" s="1">
        <v>176.725095541</v>
      </c>
      <c r="C7" s="2">
        <v>251306.75</v>
      </c>
    </row>
    <row r="8" spans="1:3" x14ac:dyDescent="0.25">
      <c r="A8" s="1" t="s">
        <v>55</v>
      </c>
      <c r="B8" s="1">
        <v>72.874448392999994</v>
      </c>
      <c r="C8" s="2">
        <v>100603.6</v>
      </c>
    </row>
    <row r="9" spans="1:3" x14ac:dyDescent="0.25">
      <c r="A9" s="1" t="s">
        <v>58</v>
      </c>
      <c r="B9" s="1">
        <v>54.74682129</v>
      </c>
      <c r="C9" s="2">
        <v>80641.899999999994</v>
      </c>
    </row>
    <row r="10" spans="1:3" x14ac:dyDescent="0.25">
      <c r="A10" s="1" t="s">
        <v>61</v>
      </c>
      <c r="B10" s="1">
        <v>53.774020462999999</v>
      </c>
      <c r="C10" s="2">
        <v>76946</v>
      </c>
    </row>
    <row r="11" spans="1:3" x14ac:dyDescent="0.25">
      <c r="A11" s="1" t="s">
        <v>65</v>
      </c>
      <c r="B11" s="1">
        <v>40.74077003</v>
      </c>
      <c r="C11" s="2">
        <v>57060</v>
      </c>
    </row>
    <row r="12" spans="1:3" x14ac:dyDescent="0.25">
      <c r="A12" s="1" t="s">
        <v>52</v>
      </c>
      <c r="B12" s="1">
        <v>28.46156964</v>
      </c>
      <c r="C12" s="2">
        <v>34027</v>
      </c>
    </row>
    <row r="13" spans="1:3" x14ac:dyDescent="0.25">
      <c r="A13" s="1" t="s">
        <v>59</v>
      </c>
      <c r="B13" s="1">
        <v>25.187739189999999</v>
      </c>
      <c r="C13" s="2">
        <v>29449.5</v>
      </c>
    </row>
    <row r="14" spans="1:3" x14ac:dyDescent="0.25">
      <c r="A14" s="1" t="s">
        <v>66</v>
      </c>
      <c r="B14" s="1">
        <v>9.23</v>
      </c>
      <c r="C14" s="2">
        <v>17726.25</v>
      </c>
    </row>
    <row r="15" spans="1:3" x14ac:dyDescent="0.25">
      <c r="A15" s="1" t="s">
        <v>60</v>
      </c>
      <c r="B15" s="1">
        <v>6.12</v>
      </c>
      <c r="C15" s="2">
        <v>13328.5</v>
      </c>
    </row>
    <row r="16" spans="1:3" x14ac:dyDescent="0.25">
      <c r="A16" s="1" t="s">
        <v>68</v>
      </c>
      <c r="B16" s="1">
        <v>4.8899999999999997</v>
      </c>
      <c r="C16" s="2">
        <v>12461.4</v>
      </c>
    </row>
    <row r="17" spans="1:3" x14ac:dyDescent="0.25">
      <c r="A17" s="1" t="s">
        <v>64</v>
      </c>
      <c r="B17" s="1">
        <v>1.84</v>
      </c>
      <c r="C17" s="2">
        <v>12228.75</v>
      </c>
    </row>
    <row r="18" spans="1:3" x14ac:dyDescent="0.25">
      <c r="A18" s="1" t="s">
        <v>47</v>
      </c>
      <c r="B18" s="1">
        <v>6.9314081370000009</v>
      </c>
      <c r="C18" s="2">
        <v>9481.75</v>
      </c>
    </row>
    <row r="19" spans="1:3" x14ac:dyDescent="0.25">
      <c r="A19" s="1" t="s">
        <v>54</v>
      </c>
      <c r="B19" s="1">
        <v>0.74</v>
      </c>
      <c r="C19" s="2">
        <v>6360.5</v>
      </c>
    </row>
    <row r="20" spans="1:3" x14ac:dyDescent="0.25">
      <c r="A20" s="1" t="s">
        <v>56</v>
      </c>
      <c r="B20" s="1">
        <v>1.492782265</v>
      </c>
      <c r="C20" s="2">
        <v>3945.75</v>
      </c>
    </row>
    <row r="21" spans="1:3" x14ac:dyDescent="0.25">
      <c r="A21" t="s">
        <v>95</v>
      </c>
      <c r="B21" s="1">
        <f>SUBTOTAL(109,Table7[Column2])</f>
        <v>12497.608152045001</v>
      </c>
      <c r="C21" s="2">
        <f>SUBTOTAL(109,Table7[Column3])</f>
        <v>16236586.180000003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B17" sqref="B17"/>
    </sheetView>
  </sheetViews>
  <sheetFormatPr defaultRowHeight="15" x14ac:dyDescent="0.25"/>
  <cols>
    <col min="1" max="1" width="30.5703125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27</v>
      </c>
      <c r="B2" s="1">
        <v>5778.269163326001</v>
      </c>
      <c r="C2" s="2">
        <v>7374718.3499999987</v>
      </c>
    </row>
    <row r="3" spans="1:3" x14ac:dyDescent="0.25">
      <c r="A3" s="1" t="s">
        <v>32</v>
      </c>
      <c r="B3" s="1">
        <v>2786.3611578099999</v>
      </c>
      <c r="C3" s="2">
        <v>3634170.15</v>
      </c>
    </row>
    <row r="4" spans="1:3" x14ac:dyDescent="0.25">
      <c r="A4" s="1" t="s">
        <v>30</v>
      </c>
      <c r="B4" s="1">
        <v>197.55</v>
      </c>
      <c r="C4" s="2">
        <v>261938.05</v>
      </c>
    </row>
    <row r="5" spans="1:3" x14ac:dyDescent="0.25">
      <c r="A5" s="1" t="s">
        <v>31</v>
      </c>
      <c r="B5" s="1">
        <v>51.176928169</v>
      </c>
      <c r="C5" s="2">
        <v>72101.300000000017</v>
      </c>
    </row>
    <row r="6" spans="1:3" x14ac:dyDescent="0.25">
      <c r="A6" s="1" t="s">
        <v>37</v>
      </c>
      <c r="B6" s="1">
        <v>62.56</v>
      </c>
      <c r="C6" s="2">
        <v>65536.649999999994</v>
      </c>
    </row>
    <row r="7" spans="1:3" x14ac:dyDescent="0.25">
      <c r="A7" s="1" t="s">
        <v>34</v>
      </c>
      <c r="B7" s="1">
        <v>31.3011573</v>
      </c>
      <c r="C7" s="2">
        <v>45082.65</v>
      </c>
    </row>
    <row r="8" spans="1:3" x14ac:dyDescent="0.25">
      <c r="A8" s="1" t="s">
        <v>38</v>
      </c>
      <c r="B8" s="1">
        <v>18.454684669999999</v>
      </c>
      <c r="C8" s="2">
        <v>23204</v>
      </c>
    </row>
    <row r="9" spans="1:3" x14ac:dyDescent="0.25">
      <c r="A9" s="1" t="s">
        <v>33</v>
      </c>
      <c r="B9" s="1">
        <v>5.45</v>
      </c>
      <c r="C9" s="2">
        <v>14979</v>
      </c>
    </row>
    <row r="10" spans="1:3" x14ac:dyDescent="0.25">
      <c r="A10" s="1" t="s">
        <v>36</v>
      </c>
      <c r="B10" s="1">
        <v>10.563667410000001</v>
      </c>
      <c r="C10" s="2">
        <v>14946.1</v>
      </c>
    </row>
    <row r="11" spans="1:3" x14ac:dyDescent="0.25">
      <c r="A11" s="1" t="s">
        <v>26</v>
      </c>
      <c r="B11" s="1">
        <v>9.2080278209999999</v>
      </c>
      <c r="C11" s="2">
        <v>12640.8</v>
      </c>
    </row>
    <row r="12" spans="1:3" x14ac:dyDescent="0.25">
      <c r="A12" s="1" t="s">
        <v>29</v>
      </c>
      <c r="B12" s="1">
        <v>7.945198789</v>
      </c>
      <c r="C12" s="2">
        <v>10319.85</v>
      </c>
    </row>
    <row r="13" spans="1:3" x14ac:dyDescent="0.25">
      <c r="A13" s="1" t="s">
        <v>28</v>
      </c>
      <c r="B13" s="1">
        <v>6.33</v>
      </c>
      <c r="C13" s="2">
        <v>8563.5499999999993</v>
      </c>
    </row>
    <row r="14" spans="1:3" x14ac:dyDescent="0.25">
      <c r="A14" s="1" t="s">
        <v>24</v>
      </c>
      <c r="B14" s="1">
        <v>2.12</v>
      </c>
      <c r="C14" s="2">
        <v>8399.4500000000007</v>
      </c>
    </row>
    <row r="15" spans="1:3" x14ac:dyDescent="0.25">
      <c r="A15" s="1" t="s">
        <v>35</v>
      </c>
      <c r="B15" s="1">
        <v>5.1731254270000004</v>
      </c>
      <c r="C15" s="2">
        <v>6676.2</v>
      </c>
    </row>
    <row r="16" spans="1:3" x14ac:dyDescent="0.25">
      <c r="A16" s="1" t="s">
        <v>25</v>
      </c>
      <c r="B16" s="1">
        <v>2.8849327059999998</v>
      </c>
      <c r="C16" s="2">
        <v>6414.45</v>
      </c>
    </row>
    <row r="17" spans="1:3" x14ac:dyDescent="0.25">
      <c r="A17" t="s">
        <v>95</v>
      </c>
      <c r="B17" s="1">
        <f>SUBTOTAL(109,Table4[Column2])</f>
        <v>8975.3480434280009</v>
      </c>
      <c r="C17" s="2">
        <f>SUBTOTAL(109,Table4[Column3])</f>
        <v>11559690.549999999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9"/>
  <sheetViews>
    <sheetView workbookViewId="0">
      <selection activeCell="B42" sqref="B42"/>
    </sheetView>
  </sheetViews>
  <sheetFormatPr defaultRowHeight="15" x14ac:dyDescent="0.25"/>
  <cols>
    <col min="1" max="1" width="35.42578125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13</v>
      </c>
      <c r="B2" s="1">
        <v>594.61827309100011</v>
      </c>
      <c r="C2" s="2">
        <v>803780.89999999991</v>
      </c>
    </row>
    <row r="3" spans="1:3" x14ac:dyDescent="0.25">
      <c r="A3" s="1" t="s">
        <v>22</v>
      </c>
      <c r="B3" s="1">
        <v>168.44946945999999</v>
      </c>
      <c r="C3" s="2">
        <v>233314.95</v>
      </c>
    </row>
    <row r="4" spans="1:3" x14ac:dyDescent="0.25">
      <c r="A4" s="1" t="s">
        <v>18</v>
      </c>
      <c r="B4" s="1">
        <v>206.3916151</v>
      </c>
      <c r="C4" s="2">
        <v>228568.8</v>
      </c>
    </row>
    <row r="5" spans="1:3" x14ac:dyDescent="0.25">
      <c r="A5" s="1" t="s">
        <v>19</v>
      </c>
      <c r="B5" s="1">
        <v>93.741262039999995</v>
      </c>
      <c r="C5" s="2">
        <v>119654</v>
      </c>
    </row>
    <row r="6" spans="1:3" x14ac:dyDescent="0.25">
      <c r="A6" s="1" t="s">
        <v>21</v>
      </c>
      <c r="B6" s="1">
        <v>50.287629549999998</v>
      </c>
      <c r="C6" s="2">
        <v>66405.25</v>
      </c>
    </row>
    <row r="7" spans="1:3" x14ac:dyDescent="0.25">
      <c r="A7" s="1" t="s">
        <v>15</v>
      </c>
      <c r="B7" s="1">
        <v>52.709847699999997</v>
      </c>
      <c r="C7" s="2">
        <v>64566.35</v>
      </c>
    </row>
    <row r="8" spans="1:3" x14ac:dyDescent="0.25">
      <c r="A8" s="1" t="s">
        <v>11</v>
      </c>
      <c r="B8" s="1">
        <v>9.5385521799999999</v>
      </c>
      <c r="C8" s="2">
        <v>17855.150000000001</v>
      </c>
    </row>
    <row r="9" spans="1:3" x14ac:dyDescent="0.25">
      <c r="A9" s="1" t="s">
        <v>16</v>
      </c>
      <c r="B9" s="1">
        <v>4.71</v>
      </c>
      <c r="C9" s="2">
        <v>12976</v>
      </c>
    </row>
    <row r="10" spans="1:3" x14ac:dyDescent="0.25">
      <c r="A10" s="1" t="s">
        <v>8</v>
      </c>
      <c r="B10" s="1">
        <v>8.67</v>
      </c>
      <c r="C10" s="2">
        <v>11398</v>
      </c>
    </row>
    <row r="11" spans="1:3" x14ac:dyDescent="0.25">
      <c r="A11" s="1" t="s">
        <v>12</v>
      </c>
      <c r="B11" s="1">
        <v>2.81</v>
      </c>
      <c r="C11" s="2">
        <v>11124.5</v>
      </c>
    </row>
    <row r="12" spans="1:3" x14ac:dyDescent="0.25">
      <c r="A12" s="1" t="s">
        <v>7</v>
      </c>
      <c r="B12" s="1">
        <v>3.03</v>
      </c>
      <c r="C12" s="2">
        <v>10460.799999999999</v>
      </c>
    </row>
    <row r="13" spans="1:3" x14ac:dyDescent="0.25">
      <c r="A13" s="1" t="s">
        <v>14</v>
      </c>
      <c r="B13" s="1">
        <v>5.72</v>
      </c>
      <c r="C13" s="2">
        <v>9517.9</v>
      </c>
    </row>
    <row r="14" spans="1:3" x14ac:dyDescent="0.25">
      <c r="A14" s="1" t="s">
        <v>9</v>
      </c>
      <c r="B14" s="1">
        <v>6.4238039260000006</v>
      </c>
      <c r="C14" s="2">
        <v>8667.6</v>
      </c>
    </row>
    <row r="15" spans="1:3" x14ac:dyDescent="0.25">
      <c r="A15" s="1" t="s">
        <v>10</v>
      </c>
      <c r="B15" s="1">
        <v>7.5885329539999997</v>
      </c>
      <c r="C15" s="2">
        <v>8232.9</v>
      </c>
    </row>
    <row r="16" spans="1:3" x14ac:dyDescent="0.25">
      <c r="A16" s="1" t="s">
        <v>20</v>
      </c>
      <c r="B16" s="1">
        <v>5.69</v>
      </c>
      <c r="C16" s="2">
        <v>7787.75</v>
      </c>
    </row>
    <row r="17" spans="1:3" x14ac:dyDescent="0.25">
      <c r="A17" s="1" t="s">
        <v>23</v>
      </c>
      <c r="B17" s="1">
        <v>2.4300000000000002</v>
      </c>
      <c r="C17" s="2">
        <v>3799.25</v>
      </c>
    </row>
    <row r="18" spans="1:3" x14ac:dyDescent="0.25">
      <c r="A18" s="1" t="s">
        <v>17</v>
      </c>
      <c r="B18" s="1">
        <v>2.5099999999999998</v>
      </c>
      <c r="C18" s="2">
        <v>3423.95</v>
      </c>
    </row>
    <row r="19" spans="1:3" x14ac:dyDescent="0.25">
      <c r="A19" t="s">
        <v>95</v>
      </c>
      <c r="B19" s="1">
        <f>SUBTOTAL(109,Table3[Column2])</f>
        <v>1225.3189860009998</v>
      </c>
      <c r="C19" s="2">
        <f>SUBTOTAL(109,Table3[Column3])</f>
        <v>1621534.0499999998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workbookViewId="0">
      <selection activeCell="D3" sqref="D3"/>
    </sheetView>
  </sheetViews>
  <sheetFormatPr defaultRowHeight="15" x14ac:dyDescent="0.25"/>
  <cols>
    <col min="1" max="1" width="26.7109375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40</v>
      </c>
      <c r="B2" s="1">
        <v>5604.8802216040003</v>
      </c>
      <c r="C2" s="2">
        <v>8287712.5499999989</v>
      </c>
    </row>
    <row r="3" spans="1:3" x14ac:dyDescent="0.25">
      <c r="A3" s="1" t="s">
        <v>39</v>
      </c>
      <c r="B3" s="1">
        <v>12.93</v>
      </c>
      <c r="C3" s="2">
        <v>50603</v>
      </c>
    </row>
    <row r="4" spans="1:3" x14ac:dyDescent="0.25">
      <c r="A4" s="1" t="s">
        <v>11</v>
      </c>
      <c r="B4" s="1">
        <v>17.620426170000002</v>
      </c>
      <c r="C4" s="2">
        <v>25579.200000000001</v>
      </c>
    </row>
    <row r="5" spans="1:3" x14ac:dyDescent="0.25">
      <c r="A5" t="s">
        <v>95</v>
      </c>
      <c r="B5" s="1">
        <f>SUBTOTAL(109,Table5[Column2])</f>
        <v>5635.430647774001</v>
      </c>
      <c r="C5" s="2">
        <f>SUBTOTAL(109,Table5[Column3])</f>
        <v>8363894.7499999991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B8" sqref="B8"/>
    </sheetView>
  </sheetViews>
  <sheetFormatPr defaultRowHeight="15" x14ac:dyDescent="0.25"/>
  <cols>
    <col min="1" max="1" width="24.7109375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1</v>
      </c>
      <c r="B2" s="1">
        <v>5.0894658660000003</v>
      </c>
      <c r="C2" s="2">
        <v>9361.7999999999993</v>
      </c>
    </row>
    <row r="3" spans="1:3" x14ac:dyDescent="0.25">
      <c r="A3" s="1" t="s">
        <v>2</v>
      </c>
      <c r="B3" s="1">
        <v>5.6716452239999997</v>
      </c>
      <c r="C3" s="2">
        <v>8206.15</v>
      </c>
    </row>
    <row r="4" spans="1:3" x14ac:dyDescent="0.25">
      <c r="A4" s="1" t="s">
        <v>3</v>
      </c>
      <c r="B4" s="1">
        <v>9.2134991589999995</v>
      </c>
      <c r="C4" s="2">
        <v>15378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sqref="A1:A1048576"/>
    </sheetView>
  </sheetViews>
  <sheetFormatPr defaultRowHeight="15" x14ac:dyDescent="0.25"/>
  <cols>
    <col min="1" max="1" width="21.140625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6</v>
      </c>
      <c r="B2" s="1">
        <v>42.899536130000001</v>
      </c>
      <c r="C2" s="2">
        <v>55659.5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C2" sqref="C2:C3"/>
    </sheetView>
  </sheetViews>
  <sheetFormatPr defaultRowHeight="15" x14ac:dyDescent="0.25"/>
  <cols>
    <col min="1" max="1" width="26.28515625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69</v>
      </c>
      <c r="B2" s="1">
        <v>13.67163467</v>
      </c>
      <c r="C2" s="2">
        <v>20504.7</v>
      </c>
    </row>
    <row r="3" spans="1:3" x14ac:dyDescent="0.25">
      <c r="A3" s="1" t="s">
        <v>70</v>
      </c>
      <c r="B3" s="1">
        <v>106.2068956</v>
      </c>
      <c r="C3" s="2">
        <v>175383.7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workbookViewId="0">
      <selection activeCell="C12" sqref="C12"/>
    </sheetView>
  </sheetViews>
  <sheetFormatPr defaultRowHeight="15" x14ac:dyDescent="0.25"/>
  <cols>
    <col min="1" max="1" width="27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53</v>
      </c>
      <c r="B2" s="1">
        <v>0.02</v>
      </c>
      <c r="C2" s="2">
        <v>0</v>
      </c>
    </row>
    <row r="3" spans="1:3" x14ac:dyDescent="0.25">
      <c r="A3" s="1" t="s">
        <v>71</v>
      </c>
      <c r="B3" s="1">
        <v>199.42091823000001</v>
      </c>
      <c r="C3" s="2">
        <v>272534.59000000003</v>
      </c>
    </row>
    <row r="4" spans="1:3" x14ac:dyDescent="0.25">
      <c r="A4" s="1" t="s">
        <v>72</v>
      </c>
      <c r="B4" s="1">
        <v>0.86</v>
      </c>
      <c r="C4" s="2">
        <v>0.46</v>
      </c>
    </row>
    <row r="5" spans="1:3" x14ac:dyDescent="0.25">
      <c r="A5" s="1" t="s">
        <v>47</v>
      </c>
      <c r="B5" s="1">
        <v>93.136627400000009</v>
      </c>
      <c r="C5" s="2">
        <v>113632.6</v>
      </c>
    </row>
    <row r="6" spans="1:3" x14ac:dyDescent="0.25">
      <c r="A6" s="1" t="s">
        <v>73</v>
      </c>
      <c r="B6" s="1">
        <v>1044.166100162</v>
      </c>
      <c r="C6" s="2">
        <v>1230382.8999999999</v>
      </c>
    </row>
    <row r="7" spans="1:3" x14ac:dyDescent="0.25">
      <c r="A7" s="1" t="s">
        <v>74</v>
      </c>
      <c r="B7" s="1">
        <v>1.226098299</v>
      </c>
      <c r="C7" s="2">
        <v>1997</v>
      </c>
    </row>
    <row r="8" spans="1:3" x14ac:dyDescent="0.25">
      <c r="A8" s="1" t="s">
        <v>75</v>
      </c>
      <c r="B8" s="1">
        <v>213.92783470000001</v>
      </c>
      <c r="C8" s="2">
        <v>341093.25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2" sqref="C2"/>
    </sheetView>
  </sheetViews>
  <sheetFormatPr defaultRowHeight="15" x14ac:dyDescent="0.25"/>
  <cols>
    <col min="1" max="1" width="20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76</v>
      </c>
      <c r="B2" s="1">
        <v>3.628049877</v>
      </c>
      <c r="C2" s="2">
        <v>6861.5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sqref="A1:A1048576"/>
    </sheetView>
  </sheetViews>
  <sheetFormatPr defaultRowHeight="15" x14ac:dyDescent="0.25"/>
  <cols>
    <col min="1" max="1" width="20.5703125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77</v>
      </c>
      <c r="B2" s="1">
        <v>8.24</v>
      </c>
      <c r="C2" s="2">
        <v>10643.25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workbookViewId="0">
      <selection sqref="A1:A1048576"/>
    </sheetView>
  </sheetViews>
  <sheetFormatPr defaultRowHeight="15" x14ac:dyDescent="0.25"/>
  <cols>
    <col min="1" max="1" width="29.140625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78</v>
      </c>
      <c r="B2" s="1">
        <v>119.46</v>
      </c>
      <c r="C2" s="2">
        <v>166478.75</v>
      </c>
    </row>
    <row r="3" spans="1:3" x14ac:dyDescent="0.25">
      <c r="A3" s="1" t="s">
        <v>79</v>
      </c>
      <c r="B3" s="1">
        <v>1.58</v>
      </c>
      <c r="C3" s="2">
        <v>4145.25</v>
      </c>
    </row>
    <row r="4" spans="1:3" x14ac:dyDescent="0.25">
      <c r="A4" s="1" t="s">
        <v>80</v>
      </c>
      <c r="B4" s="1">
        <v>51.76853461200001</v>
      </c>
      <c r="C4" s="2">
        <v>118856.13</v>
      </c>
    </row>
    <row r="5" spans="1:3" x14ac:dyDescent="0.25">
      <c r="A5" s="1" t="s">
        <v>81</v>
      </c>
      <c r="B5" s="1">
        <v>35.54</v>
      </c>
      <c r="C5" s="2">
        <v>64039.5</v>
      </c>
    </row>
    <row r="6" spans="1:3" x14ac:dyDescent="0.25">
      <c r="A6" s="1" t="s">
        <v>82</v>
      </c>
      <c r="B6" s="1">
        <v>2.0651472150000001</v>
      </c>
      <c r="C6" s="2">
        <v>5260.25</v>
      </c>
    </row>
    <row r="7" spans="1:3" x14ac:dyDescent="0.25">
      <c r="A7" s="1" t="s">
        <v>83</v>
      </c>
      <c r="B7" s="1">
        <v>96.195744270000006</v>
      </c>
      <c r="C7" s="2">
        <v>157537.47</v>
      </c>
    </row>
    <row r="8" spans="1:3" x14ac:dyDescent="0.25">
      <c r="A8" s="1" t="s">
        <v>84</v>
      </c>
      <c r="B8" s="1">
        <v>7.2</v>
      </c>
      <c r="C8" s="2">
        <v>13197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workbookViewId="0">
      <selection sqref="A1:A1048576"/>
    </sheetView>
  </sheetViews>
  <sheetFormatPr defaultRowHeight="15" x14ac:dyDescent="0.25"/>
  <cols>
    <col min="1" max="1" width="26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85</v>
      </c>
      <c r="B2" s="1">
        <v>38.479837320000001</v>
      </c>
      <c r="C2" s="2">
        <v>67763.5</v>
      </c>
    </row>
    <row r="3" spans="1:3" x14ac:dyDescent="0.25">
      <c r="A3" s="1" t="s">
        <v>86</v>
      </c>
      <c r="B3" s="1">
        <v>7.42</v>
      </c>
      <c r="C3" s="2">
        <v>15694.95</v>
      </c>
    </row>
    <row r="4" spans="1:3" x14ac:dyDescent="0.25">
      <c r="A4" s="1" t="s">
        <v>87</v>
      </c>
      <c r="B4" s="1">
        <v>6.43</v>
      </c>
      <c r="C4" s="2">
        <v>16089.05</v>
      </c>
    </row>
    <row r="5" spans="1:3" x14ac:dyDescent="0.25">
      <c r="A5" s="1" t="s">
        <v>88</v>
      </c>
      <c r="B5" s="1">
        <v>86.405754167999987</v>
      </c>
      <c r="C5" s="2">
        <v>165419.15</v>
      </c>
    </row>
    <row r="6" spans="1:3" x14ac:dyDescent="0.25">
      <c r="A6" s="1" t="s">
        <v>89</v>
      </c>
      <c r="B6" s="1">
        <v>1.2662732000000001</v>
      </c>
      <c r="C6" s="2">
        <v>2817.65</v>
      </c>
    </row>
    <row r="7" spans="1:3" x14ac:dyDescent="0.25">
      <c r="A7" s="1" t="s">
        <v>90</v>
      </c>
      <c r="B7" s="1">
        <v>1.52</v>
      </c>
      <c r="C7" s="2">
        <v>4093.3</v>
      </c>
    </row>
    <row r="8" spans="1:3" x14ac:dyDescent="0.25">
      <c r="A8" s="1" t="s">
        <v>91</v>
      </c>
      <c r="B8" s="1">
        <v>12.45</v>
      </c>
      <c r="C8" s="2">
        <v>20711.48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sqref="A1:A1048576"/>
    </sheetView>
  </sheetViews>
  <sheetFormatPr defaultRowHeight="15" x14ac:dyDescent="0.25"/>
  <cols>
    <col min="1" max="1" width="24.7109375" style="1" bestFit="1" customWidth="1"/>
    <col min="2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88</v>
      </c>
      <c r="B2" s="1">
        <v>0.96240621500000001</v>
      </c>
      <c r="C2" s="2">
        <v>3566.75</v>
      </c>
    </row>
    <row r="3" spans="1:3" x14ac:dyDescent="0.25">
      <c r="A3" s="1" t="s">
        <v>71</v>
      </c>
      <c r="B3" s="1">
        <v>378.91030855000002</v>
      </c>
      <c r="C3" s="2">
        <v>559089.18999999994</v>
      </c>
    </row>
    <row r="4" spans="1:3" x14ac:dyDescent="0.25">
      <c r="A4" s="1" t="s">
        <v>92</v>
      </c>
      <c r="B4" s="1">
        <v>0.22907364399999999</v>
      </c>
      <c r="C4" s="2">
        <v>686.8</v>
      </c>
    </row>
    <row r="5" spans="1:3" x14ac:dyDescent="0.25">
      <c r="A5" s="1" t="s">
        <v>93</v>
      </c>
      <c r="B5" s="1">
        <v>0.16</v>
      </c>
      <c r="C5" s="2">
        <v>383.51</v>
      </c>
    </row>
    <row r="6" spans="1:3" x14ac:dyDescent="0.25">
      <c r="A6" s="1" t="s">
        <v>75</v>
      </c>
      <c r="B6" s="1">
        <v>293.24989495800003</v>
      </c>
      <c r="C6" s="2">
        <v>441446.8</v>
      </c>
    </row>
    <row r="7" spans="1:3" x14ac:dyDescent="0.25">
      <c r="A7" s="1" t="s">
        <v>76</v>
      </c>
      <c r="B7" s="1">
        <v>4.3899999999999997</v>
      </c>
      <c r="C7" s="2">
        <v>10148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5" sqref="B5"/>
    </sheetView>
  </sheetViews>
  <sheetFormatPr defaultRowHeight="15" x14ac:dyDescent="0.25"/>
  <cols>
    <col min="1" max="2" width="11.85546875" style="1" bestFit="1" customWidth="1"/>
    <col min="3" max="3" width="24.5703125" style="2" bestFit="1" customWidth="1"/>
  </cols>
  <sheetData>
    <row r="1" spans="1:3" x14ac:dyDescent="0.25">
      <c r="A1" s="1" t="s">
        <v>0</v>
      </c>
      <c r="B1" s="1" t="s">
        <v>4</v>
      </c>
      <c r="C1" s="2" t="s">
        <v>5</v>
      </c>
    </row>
    <row r="2" spans="1:3" x14ac:dyDescent="0.25">
      <c r="A2" s="1" t="s">
        <v>94</v>
      </c>
      <c r="B2" s="1">
        <v>60.742662129999999</v>
      </c>
      <c r="C2" s="2">
        <v>91334.35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Bob Stearns</vt:lpstr>
      <vt:lpstr>Chris Cline</vt:lpstr>
      <vt:lpstr>John Degidio</vt:lpstr>
      <vt:lpstr>Johnny Martinez</vt:lpstr>
      <vt:lpstr>Martha Leon</vt:lpstr>
      <vt:lpstr>Mike Powell </vt:lpstr>
      <vt:lpstr>Ed Tyk</vt:lpstr>
      <vt:lpstr>Dan Mahlan</vt:lpstr>
      <vt:lpstr>BLANK</vt:lpstr>
      <vt:lpstr>Mike Podmolik</vt:lpstr>
      <vt:lpstr>Drew Dines</vt:lpstr>
      <vt:lpstr>Mary McKown</vt:lpstr>
      <vt:lpstr>Kyle Beebe</vt:lpstr>
      <vt:lpstr>Inside</vt:lpstr>
      <vt:lpstr>Tom Garcia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Shannon, Darien</dc:creator>
  <cp:lastModifiedBy>Darien Shannon</cp:lastModifiedBy>
  <dcterms:created xsi:type="dcterms:W3CDTF">2017-01-17T21:02:32Z</dcterms:created>
  <dcterms:modified xsi:type="dcterms:W3CDTF">2017-01-17T21:10:06Z</dcterms:modified>
</cp:coreProperties>
</file>